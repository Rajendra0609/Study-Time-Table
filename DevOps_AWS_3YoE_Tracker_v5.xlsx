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jen\Downloads\"/>
    </mc:Choice>
  </mc:AlternateContent>
  <xr:revisionPtr revIDLastSave="0" documentId="13_ncr:1_{D888A84C-0A1A-40A2-8D55-E0D524EB198D}" xr6:coauthVersionLast="47" xr6:coauthVersionMax="47" xr10:uidLastSave="{00000000-0000-0000-0000-000000000000}"/>
  <bookViews>
    <workbookView xWindow="-120" yWindow="-120" windowWidth="23280" windowHeight="14880" firstSheet="3" activeTab="3" xr2:uid="{00000000-000D-0000-FFFF-FFFF00000000}"/>
  </bookViews>
  <sheets>
    <sheet name="3YoE Profile" sheetId="1" r:id="rId1"/>
    <sheet name="Dashboard" sheetId="2" r:id="rId2"/>
    <sheet name="Roadmap" sheetId="3" r:id="rId3"/>
    <sheet name="Daily Timetable" sheetId="4" r:id="rId4"/>
    <sheet name="Study Tracker" sheetId="5" r:id="rId5"/>
    <sheet name="Skills Checklist" sheetId="6" r:id="rId6"/>
    <sheet name="Projects" sheetId="7" r:id="rId7"/>
    <sheet name="Interview Prep" sheetId="8" r:id="rId8"/>
    <sheet name="Applications" sheetId="9" r:id="rId9"/>
    <sheet name="Salary Guid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B7" i="2"/>
  <c r="B6" i="2"/>
</calcChain>
</file>

<file path=xl/sharedStrings.xml><?xml version="1.0" encoding="utf-8"?>
<sst xmlns="http://schemas.openxmlformats.org/spreadsheetml/2006/main" count="2587" uniqueCount="1327">
  <si>
    <t>🎯  YOUR 3+ YoE PROFILE  —  Linux Admin + DevOps + AWS + Shell Scripting</t>
  </si>
  <si>
    <t>Category</t>
  </si>
  <si>
    <t>What You Already Have (3+ YoE)</t>
  </si>
  <si>
    <t>Gap to Close</t>
  </si>
  <si>
    <t>Priority</t>
  </si>
  <si>
    <t>Timeline</t>
  </si>
  <si>
    <t>Resources</t>
  </si>
  <si>
    <t>🐧 Linux Admin</t>
  </si>
  <si>
    <t>Shell scripting, user mgmt, services, cron, logs, SSH, file systems</t>
  </si>
  <si>
    <t>cgroups/namespaces internals, systemd deep dive, iptables advanced, SELinux basics</t>
  </si>
  <si>
    <t>HIGH</t>
  </si>
  <si>
    <t>Week 1-2</t>
  </si>
  <si>
    <t>TLDP Advanced Bash, Linux man pages, Practice on EC2</t>
  </si>
  <si>
    <t>🔀 Shell Scripting</t>
  </si>
  <si>
    <t>Bash scripts for automation, cron jobs, log parsing</t>
  </si>
  <si>
    <t>Error handling (trap/set -e), getopts, parallel execution, jq, heredoc, unit testing scripts</t>
  </si>
  <si>
    <t>TLDP Advanced Bash Guide, shellcheck tool</t>
  </si>
  <si>
    <t>☁️ AWS Core</t>
  </si>
  <si>
    <t>EC2, S3, IAM basics, some VPC</t>
  </si>
  <si>
    <t>IAM policies/roles deep dive, VPC peering/TGW, ASG lifecycle, ALB/WAF, cross-account</t>
  </si>
  <si>
    <t>Week 8</t>
  </si>
  <si>
    <t>AWS Skill Builder, Stephane Maarek courses</t>
  </si>
  <si>
    <t>🐳 Docker</t>
  </si>
  <si>
    <t>Build + run containers, basic Compose</t>
  </si>
  <si>
    <t>Multi-stage builds, image scanning (Trivy), security hardening, ECR integration</t>
  </si>
  <si>
    <t>Week 3</t>
  </si>
  <si>
    <t>Docker docs, Play with Docker labs</t>
  </si>
  <si>
    <t>🔄 CI/CD</t>
  </si>
  <si>
    <t>Basic Jenkins or GitHub Actions usage</t>
  </si>
  <si>
    <t>Pipeline-as-code, OIDC auth to AWS, SonarQube gates, shared libraries</t>
  </si>
  <si>
    <t>Week 4</t>
  </si>
  <si>
    <t>Jenkins docs, GitHub Actions docs</t>
  </si>
  <si>
    <t>☸️ Kubernetes</t>
  </si>
  <si>
    <t>Basic pod/deployment knowledge (if any)</t>
  </si>
  <si>
    <t>K8s architecture, RBAC, Helm, HPA, Ingress, debug CrashLoopBackOff</t>
  </si>
  <si>
    <t>MED-HIGH</t>
  </si>
  <si>
    <t>Week 5-6</t>
  </si>
  <si>
    <t>Kubernetes.io docs, KodeKloud K8s labs</t>
  </si>
  <si>
    <t>🏗️ Terraform</t>
  </si>
  <si>
    <t>Maybe some Terraform basics</t>
  </si>
  <si>
    <t>Remote state (S3+DynamoDB), modules, for_each, workspaces</t>
  </si>
  <si>
    <t>MED</t>
  </si>
  <si>
    <t>Week 7</t>
  </si>
  <si>
    <t>Terraform docs, HashiCorp tutorials</t>
  </si>
  <si>
    <t>🐍 Python DevOps</t>
  </si>
  <si>
    <t>Basic Python scripting</t>
  </si>
  <si>
    <t>boto3 for AWS automation, argparse, subprocess, REST API calls, error handling</t>
  </si>
  <si>
    <t>Week 2</t>
  </si>
  <si>
    <t>boto3 docs, Python for DevOps book</t>
  </si>
  <si>
    <t>📊 Monitoring</t>
  </si>
  <si>
    <t>Basic CloudWatch awareness</t>
  </si>
  <si>
    <t>Prometheus + Grafana setup, custom metrics, alerting, Log Insights queries</t>
  </si>
  <si>
    <t>Week 11</t>
  </si>
  <si>
    <t>Prometheus docs, Grafana docs, AWS Observability</t>
  </si>
  <si>
    <t>🔐 Security</t>
  </si>
  <si>
    <t>Basic IAM understanding</t>
  </si>
  <si>
    <t>IAM permission boundaries, GuardDuty, WAF, KMS, container security</t>
  </si>
  <si>
    <t>Week 12</t>
  </si>
  <si>
    <t>AWS Security Hub docs, OWASP</t>
  </si>
  <si>
    <t>🎯 TARGET JOB TITLES (3+ YoE)</t>
  </si>
  <si>
    <t xml:space="preserve">  ✅  Linux Administrator + DevOps Engineer</t>
  </si>
  <si>
    <t xml:space="preserve">  ✅  DevOps Engineer (AWS + Linux)</t>
  </si>
  <si>
    <t xml:space="preserve">  ✅  Cloud DevOps Engineer</t>
  </si>
  <si>
    <t xml:space="preserve">  ✅  AWS Cloud Engineer</t>
  </si>
  <si>
    <t xml:space="preserve">  ✅  Site Reliability Engineer (SRE) — Junior/Mid</t>
  </si>
  <si>
    <t xml:space="preserve">  ✅  Infrastructure Engineer (AWS)</t>
  </si>
  <si>
    <t xml:space="preserve">  ✅  Platform Engineer</t>
  </si>
  <si>
    <t xml:space="preserve">  ✅  Build &amp; Release Engineer</t>
  </si>
  <si>
    <t>💰 SALARY TARGET (India 2026)</t>
  </si>
  <si>
    <t xml:space="preserve">  3+ YoE DevOps/Linux role:  ₹18 – 35 LPA  (negotiate from your strengths: Linux + AWS + automation)</t>
  </si>
  <si>
    <t>⚡ YOUR DIFFERENTIATORS vs. Freshers</t>
  </si>
  <si>
    <t xml:space="preserve">  ✅  Real Linux admin experience → production troubleshooting stories for interviews</t>
  </si>
  <si>
    <t xml:space="preserve">  ✅  Shell scripting done on real servers → not just theory</t>
  </si>
  <si>
    <t xml:space="preserve">  ✅  AWS exposure → shows cloud intent + practical knowledge</t>
  </si>
  <si>
    <t xml:space="preserve">  ✅  DevOps mindset: automation + reliability + repeatability</t>
  </si>
  <si>
    <t xml:space="preserve">  ✅  Add: GitHub portfolio (5 projects) + AWS SAA cert = ₹5-8 LPA premium</t>
  </si>
  <si>
    <t>🚀  AWS DevOps Engineer (Linux + AWS + Shell)  —  Job Switch Tracker</t>
  </si>
  <si>
    <t>Target: AWS DevOps / Linux DevOps Engineer  |  3+ Years Level  |  Strong Package  |  Start: 20 March 2026</t>
  </si>
  <si>
    <t>📊  LIVE METRICS  (auto-updates)</t>
  </si>
  <si>
    <t>Metric</t>
  </si>
  <si>
    <t>Value</t>
  </si>
  <si>
    <t>Note</t>
  </si>
  <si>
    <t>Key Milestones</t>
  </si>
  <si>
    <t>Target Date</t>
  </si>
  <si>
    <t>Done?</t>
  </si>
  <si>
    <t>Overall Study Progress (%)</t>
  </si>
  <si>
    <t>Use dropdown in Skills Checklist</t>
  </si>
  <si>
    <t>Linux + Git + Networking mastery</t>
  </si>
  <si>
    <t>2026-04-05</t>
  </si>
  <si>
    <t>☐</t>
  </si>
  <si>
    <t>Weeks Elapsed</t>
  </si>
  <si>
    <t>Auto-calculated from today</t>
  </si>
  <si>
    <t>Docker + K8s working locally</t>
  </si>
  <si>
    <t>2026-04-26</t>
  </si>
  <si>
    <t>Weeks Remaining (of 16)</t>
  </si>
  <si>
    <t>16-week plan</t>
  </si>
  <si>
    <t>Terraform AWS stack live</t>
  </si>
  <si>
    <t>2026-05-17</t>
  </si>
  <si>
    <t>Skills: Done</t>
  </si>
  <si>
    <t>Count from Skills Checklist</t>
  </si>
  <si>
    <t>EKS cluster deployed</t>
  </si>
  <si>
    <t>2026-06-07</t>
  </si>
  <si>
    <t>Skills: In Progress</t>
  </si>
  <si>
    <t>Portfolio: 5 projects on GitHub</t>
  </si>
  <si>
    <t>2026-06-28</t>
  </si>
  <si>
    <t>Skills: Not Started</t>
  </si>
  <si>
    <t>AWS SAA cert study done</t>
  </si>
  <si>
    <t>2026-07-05</t>
  </si>
  <si>
    <t>Projects Completed</t>
  </si>
  <si>
    <t>25+ applications sent</t>
  </si>
  <si>
    <t>Applications Submitted</t>
  </si>
  <si>
    <t>Rows with date filled</t>
  </si>
  <si>
    <t>First offer received</t>
  </si>
  <si>
    <t>2026-07-12</t>
  </si>
  <si>
    <t>Interviews Scheduled</t>
  </si>
  <si>
    <t>Offers Received</t>
  </si>
  <si>
    <t>💡  DAILY FOCUS  — Update the Skills Checklist and Study Tracker every evening</t>
  </si>
  <si>
    <t>✅  Morning (60 min): Theory — read docs / watch 1 topic</t>
  </si>
  <si>
    <t>✅  Evening (90 min): Hands-on lab — build something, push to GitHub</t>
  </si>
  <si>
    <t>✅  Night (30 min): Notes + interview Q&amp;A drill + mark % complete in Study Tracker</t>
  </si>
  <si>
    <t>✅  Weekend Sat: Full project sprint (3-4 hrs) — build/extend portfolio project</t>
  </si>
  <si>
    <t>✅  Weekend Sun: Mock interview + apply to 5-10 jobs + plan next week</t>
  </si>
  <si>
    <t>⚡  Key Rule: 60% Hands-on  |  30% Theory  |  10% Interview Prep — ALWAYS</t>
  </si>
  <si>
    <t>⚡  Every topic: Build → Break → Fix → Document → GitHub. That IS real-time experience.</t>
  </si>
  <si>
    <t>⚡  Target: AWS Solutions Architect Associate OR AWS DevOps Professional cert alongside.</t>
  </si>
  <si>
    <t>🗺️  16-WEEK AWS DEVOPS ENGINEER ROADMAP (3+ YoE)  —  Start: 20 March 2026</t>
  </si>
  <si>
    <t>Week</t>
  </si>
  <si>
    <t>Date Range</t>
  </si>
  <si>
    <t>Phase</t>
  </si>
  <si>
    <t>Core Topics (Senior-Level)</t>
  </si>
  <si>
    <t>Hands-On Deliverables</t>
  </si>
  <si>
    <t>Interview Q Focus</t>
  </si>
  <si>
    <t>Week 1</t>
  </si>
  <si>
    <t>20 Mar–26 Mar</t>
  </si>
  <si>
    <t>🐧 Linux &amp; Git Deep Dive</t>
  </si>
  <si>
    <t>Linux internals: cgroups, namespaces, systemd units, journald; Advanced Git: rebase, cherry-pick, bisect, hooks, submodules; Networking: TCP/UDP, DNS, SSL/TLS, iptables, netstat</t>
  </si>
  <si>
    <t>Write 3 systemd service units; Git branching workflow with hooks; capture network traffic with tcpdump; troubleshoot DNS resolution</t>
  </si>
  <si>
    <t>How does Linux process isolation work? Git rebase vs merge? Explain TCP 3-way handshake.</t>
  </si>
  <si>
    <t>Linux man pages; Pro Git book; TLDP networking guide</t>
  </si>
  <si>
    <t>27 Mar–02 Apr</t>
  </si>
  <si>
    <t>🐍 Scripting &amp; Automation</t>
  </si>
  <si>
    <t>Bash: functions, error handling, trap, getopts, heredoc; Python for DevOps: argparse, subprocess, boto3 basics, REST API calls; Cron + systemd timers</t>
  </si>
  <si>
    <t>Bash backup script with logging + error handling; Python script to list/tag AWS resources via boto3; auto-restart script for a service</t>
  </si>
  <si>
    <t>Write a bash script that deploys with rollback. How would you automate patching? boto3 vs AWS CLI.</t>
  </si>
  <si>
    <t>Python docs; TLDP Advanced Bash Guide; boto3 docs</t>
  </si>
  <si>
    <t>03 Apr–09 Apr</t>
  </si>
  <si>
    <t>🐳 Docker &amp; Containers Advanced</t>
  </si>
  <si>
    <t>Docker: multi-stage builds, BuildKit, image security (Trivy scan), Docker networks advanced, Compose v2, resource limits; Container runtime internals; Dockerfile best practices for prod</t>
  </si>
  <si>
    <t>Multi-stage Dockerfile for Java app; docker-compose with Nginx+App+Postgres; scan image with Trivy; push to ECR; compare image sizes before/after optimisation</t>
  </si>
  <si>
    <t>Multi-stage builds explain. How do you minimise image size? Trivy vs Snyk. Container escape risks.</t>
  </si>
  <si>
    <t>Docker docs; Trivy docs; container security best practices</t>
  </si>
  <si>
    <t>10 Apr–16 Apr</t>
  </si>
  <si>
    <t>🔄 CI/CD — Jenkins &amp; GitHub Actions</t>
  </si>
  <si>
    <t>Jenkins: pipelines-as-code (Jenkinsfile), shared libraries, agents, Blue Ocean; GitHub Actions: matrix builds, reusable workflows, secrets, OIDC to AWS; Artifact management with Nexus/Artifactory; SonarQube quality gates; branch protection policies</t>
  </si>
  <si>
    <t>Full Jenkins pipeline: lint → test → SonarQube → Docker build → push ECR → deploy; GitHub Actions OIDC to AWS (no long-lived keys); Nexus repo for artifacts</t>
  </si>
  <si>
    <t>Explain CI vs CD vs CD. How do you handle secrets in pipelines? OIDC vs IAM user for GitHub Actions.</t>
  </si>
  <si>
    <t>Jenkins docs; GitHub Actions docs; SonarQube docs; Nexus docs</t>
  </si>
  <si>
    <t>Week 5</t>
  </si>
  <si>
    <t>17 Apr–23 Apr</t>
  </si>
  <si>
    <t>☸️ Kubernetes I — Core &amp; Production Patterns</t>
  </si>
  <si>
    <t>K8s architecture deep: API server, etcd, scheduler, kubelet; Pods, ReplicaSets, Deployments, StatefulSets, DaemonSets; Services (ClusterIP/NodePort/LB); ConfigMaps/Secrets; Resource requests &amp; limits; Liveness/readiness probes; Rolling updates &amp; rollback</t>
  </si>
  <si>
    <t>Deploy 3-tier app on minikube/kind; configure health probes; simulate rolling update + rollback; debug CrashLoopBackOff and ImagePullBackOff; set resource quotas</t>
  </si>
  <si>
    <t>Explain etcd role. Pod vs Deployment. How does a rolling update work? Debug a pod stuck in Pending.</t>
  </si>
  <si>
    <t>Kubernetes docs; Kelsey Hightower's K8s the Hard Way (concepts)</t>
  </si>
  <si>
    <t>Week 6</t>
  </si>
  <si>
    <t>24 Apr–30 Apr</t>
  </si>
  <si>
    <t>☸️ Kubernetes II — Advanced &amp; Security</t>
  </si>
  <si>
    <t>RBAC (ClusterRole, RoleBinding, ServiceAccount); Network Policies; Pod Security Standards; Ingress + Nginx Ingress Controller; HPA/VPA; Helm 3 (charts, hooks, values, templates); Kustomize; Persistent Volumes &amp; StorageClass; Multi-container patterns (sidecar, init, ambassador)</t>
  </si>
  <si>
    <t>RBAC: create dev/ops roles; network policy: block pod-to-pod traffic; HPA based on CPU; Helm chart for your app with prod/staging values; PVC with StorageClass; Ingress with TLS</t>
  </si>
  <si>
    <t>RBAC best practices. How does HPA work internally? Helm vs Kustomize. Network Policy ingress/egress.</t>
  </si>
  <si>
    <t>Helm docs; K8s RBAC docs; NginxIngressController docs</t>
  </si>
  <si>
    <t>01 May–07 May</t>
  </si>
  <si>
    <t>🏗️ Terraform — Advanced IaC</t>
  </si>
  <si>
    <t>Terraform state management: remote state (S3+DynamoDB), state locking, import, mv, rm; Modules: reusable patterns, versioning, registry; Workspaces vs directory structure; Dynamic blocks; Locals, outputs, for_each, count; Atlantis for PR-based Terraform; Terragrunt concepts</t>
  </si>
  <si>
    <t>Terraform module: reusable VPC module; remote state in S3 with DynamoDB lock; deploy full AWS stack using modules; Atlantis plan/apply on PR; refactor with for_each</t>
  </si>
  <si>
    <t>Remote state locking explain. Module vs workspace. Terraform taint vs import. How do you handle secrets in Terraform?</t>
  </si>
  <si>
    <t>Terraform docs; Atlantis docs; Gruntwork Terragrunt guide</t>
  </si>
  <si>
    <t>08 May–14 May</t>
  </si>
  <si>
    <t>☁️ AWS Core — Deep Dive</t>
  </si>
  <si>
    <t>IAM: policies (inline/managed), conditions, permission boundaries, SCP, assume-role, cross-account; VPC: subnets, route tables, NAT GW, Transit Gateway, VPC peering, PrivateLink; EC2: launch templates, ASG lifecycle hooks, spot instances, placement groups; S3: versioning, lifecycle, replication, pre-signed URLs, bucket policies; ALB: routing rules, target groups, HTTPS, WAF integration</t>
  </si>
  <si>
    <t>Cross-account IAM assume-role; Transit Gateway connecting 2 VPCs; ASG with lifecycle hook for graceful drain; S3 cross-region replication; ALB with path-based routing + HTTPS + WAF rule</t>
  </si>
  <si>
    <t>Explain IAM permission boundary. SCP vs resource policy. VPC peering vs Transit GW. ALB vs NLB.</t>
  </si>
  <si>
    <t>AWS docs; AWS IAM best practices; AWS VPC advanced guide</t>
  </si>
  <si>
    <t>Week 9</t>
  </si>
  <si>
    <t>15 May–21 May</t>
  </si>
  <si>
    <t>🚢 AWS EKS — Production Kubernetes</t>
  </si>
  <si>
    <t>EKS: managed node groups vs Fargate vs self-managed; EKS add-ons (CoreDNS, kube-proxy, VPC CNI); IRSA (IAM Roles for Service Accounts); Cluster Autoscaler; AWS Load Balancer Controller; ExternalDNS; EKS upgrade strategy; ECR + image scanning; eksctl &amp; Terraform for EKS</t>
  </si>
  <si>
    <t>EKS cluster via Terraform; IRSA for pod AWS access; AWS LB Controller with NLB; ExternalDNS with Route 53; Cluster Autoscaler; scale from 0 scenario; ECR image scanning pipeline</t>
  </si>
  <si>
    <t>IRSA vs kube2iam. EKS managed vs self-managed nodes. Cluster Autoscaler vs Karpenter. EKS version upgrade steps.</t>
  </si>
  <si>
    <t>EKS docs; AWS LB Controller docs; eksctl docs; Karpenter docs</t>
  </si>
  <si>
    <t>Week 10</t>
  </si>
  <si>
    <t>22 May–28 May</t>
  </si>
  <si>
    <t>☁️ AWS Advanced Services</t>
  </si>
  <si>
    <t>RDS: Multi-AZ, read replicas, parameter groups, snapshots, IAM auth; ElastiCache Redis; SQS/SNS event-driven patterns; Lambda: triggers, layers, concurrency, cold start, SAM; API Gateway; CloudFront + S3 static site; Route 53: health checks, failover, weighted routing; AWS Secrets Manager + Parameter Store</t>
  </si>
  <si>
    <t>RDS Multi-AZ with failover test; Lambda triggered by SQS with DLQ; API Gateway + Lambda REST API; CloudFront + S3 with OAI; Route 53 failover routing; Secrets Manager rotation</t>
  </si>
  <si>
    <t>RDS Multi-AZ vs Read Replica. Lambda cold start mitigation. SQS vs SNS vs EventBridge. CloudFront cache invalidation.</t>
  </si>
  <si>
    <t>AWS RDS docs; Lambda best practices; AWS event-driven architectures</t>
  </si>
  <si>
    <t>29 May–04 Jun</t>
  </si>
  <si>
    <t>📊 Observability &amp; SRE</t>
  </si>
  <si>
    <t>CloudWatch: custom metrics, metric math, composite alarms, dashboards, Log Insights, Container Insights; Prometheus + Grafana on K8s (kube-prometheus-stack); Distributed tracing: X-Ray / OpenTelemetry; ELK/EFK stack concepts; SLI/SLO/SLA/Error budgets; Incident management; Runbooks</t>
  </si>
  <si>
    <t>CloudWatch dashboard with ALB + ECS metrics; Prometheus + Grafana on EKS; alert for p99 latency; CloudWatch Log Insights query for error rates; define SLO for a service; write a runbook</t>
  </si>
  <si>
    <t>SLI vs SLO vs SLA. Error budget explain. Prometheus pull vs push. CloudWatch Logs Insights vs Athena.</t>
  </si>
  <si>
    <t>Prometheus docs; Grafana docs; Google SRE Book (free online); AWS Observability best practices</t>
  </si>
  <si>
    <t>05 Jun–11 Jun</t>
  </si>
  <si>
    <t>🔐 Security &amp; Compliance</t>
  </si>
  <si>
    <t>AWS Security Hub + GuardDuty + Inspector + Config; WAF rules (OWASP top 10); KMS key management; Secrets Manager rotation; IAM Access Analyzer; VPC Flow Logs analysis; Container security: Falco, image scanning; CIS benchmark for EKS; SOC2/PCI-DSS/ISO basics; SAST/DAST in pipelines</t>
  </si>
  <si>
    <t>Enable GuardDuty + Security Hub; WAF rule to block SQLi; KMS CMK for RDS encryption; Secrets Manager auto-rotation; IAM Access Analyzer findings; Falco on EKS; SonarQube SAST in CI pipeline</t>
  </si>
  <si>
    <t>GuardDuty vs Inspector vs Security Hub. WAF vs Shield. KMS CMK vs AWS managed key. Zero-trust network approach.</t>
  </si>
  <si>
    <t>AWS Security best practices; OWASP; CIS Benchmarks; AWS re:Inforce talks</t>
  </si>
  <si>
    <t>Week 13</t>
  </si>
  <si>
    <t>12 Jun–18 Jun</t>
  </si>
  <si>
    <t>🔀 GitOps &amp; Advanced CD</t>
  </si>
  <si>
    <t>ArgoCD: app of apps, sync policies, RBAC, notifications; Flux v2: Kustomization + HelmRelease controllers; GitOps principles; Progressive delivery: Argo Rollouts (canary/blue-green); Feature flags; Multi-environment promotion patterns; Secrets in GitOps: Sealed Secrets / External Secrets Operator</t>
  </si>
  <si>
    <t>ArgoCD app-of-apps managing 3 environments; Argo Rollouts canary deploy with auto-promotion; External Secrets Operator pulling from AWS Secrets Manager; Flux managing HelmRelease; GitOps PR-based promotion pipeline</t>
  </si>
  <si>
    <t>GitOps vs traditional CD. ArgoCD vs Flux. Canary vs blue-green. How do you manage secrets in Git?</t>
  </si>
  <si>
    <t>ArgoCD docs; Flux docs; Argo Rollouts docs; External Secrets Operator docs</t>
  </si>
  <si>
    <t>Week 14</t>
  </si>
  <si>
    <t>19 Jun–25 Jun</t>
  </si>
  <si>
    <t>💰 Cost Optimisation &amp; Multi-Account AWS</t>
  </si>
  <si>
    <t>AWS Cost Explorer + Budgets + Savings Plans; Spot + On-Demand + Reserved mix; Rightsizing recommendations; AWS Organizations + Control Tower; Landing Zone; SCPs; AWS Config rules; Account vending machine pattern; Tagging strategy; FinOps culture</t>
  </si>
  <si>
    <t>Cost dashboard with Budget alerts; spot instance fleet with fallback; tag enforcement via Config; SCP to restrict regions; multi-account VPC sharing; Savings Plan analysis report</t>
  </si>
  <si>
    <t>Savings Plan vs Reserved Instances. How do you reduce EKS costs? Tag strategy for chargeback. FinOps explain.</t>
  </si>
  <si>
    <t>AWS Cost Optimization pillar; FinOps Foundation; AWS Control Tower docs</t>
  </si>
  <si>
    <t>Week 15</t>
  </si>
  <si>
    <t>26 Jun–02 Jul</t>
  </si>
  <si>
    <t>🏛️ System Design for Interviews</t>
  </si>
  <si>
    <t>Design: scalable CI/CD for 100 microservices; multi-region active-active; DR strategy (RTO/RPO); blue-green at scale; event-driven data pipeline; HA Kubernetes cluster; zero-downtime DB migration; monolith to microservices migration strategy</t>
  </si>
  <si>
    <t>Architecture diagram: end-to-end DevOps platform (draw.io); document DR plan with RTO/RPO; present 3 portfolio projects with architecture decisions; write ADRs (Architecture Decision Records)</t>
  </si>
  <si>
    <t>Design a CI/CD system for 50 teams. DR: active-active vs active-passive. How would you migrate a monolith? Zero-downtime deploy approach.</t>
  </si>
  <si>
    <t>AWS Well-Architected Framework; Designing Data-Intensive Applications; System Design Interview book</t>
  </si>
  <si>
    <t>Week 16</t>
  </si>
  <si>
    <t>03 Jul–09 Jul</t>
  </si>
  <si>
    <t>🎯 Interview Sprint &amp; Job Switch</t>
  </si>
  <si>
    <t>STAR story bank (10+ stories); Behavioral: leadership, conflict, failure, impact; Technical mock interviews; Salary negotiation; Offer evaluation; LinkedIn optimisation; Resume ATS optimisation; Referrals strategy</t>
  </si>
  <si>
    <t>10 STAR stories documented; 5 mock interviews done; resume ATS score &gt;80%; LinkedIn 500+ connections; 30+ applications sent; negotiate — target ₹40-60 LPA range for 3+ YoE DevOps role</t>
  </si>
  <si>
    <t>Mock: full system design + coding + behavioural round. Negotiate: always counter. Know your BATNA.</t>
  </si>
  <si>
    <t>Cracking the Coding Interview; Grokking the System Design; Blind 75 for DSA brushup</t>
  </si>
  <si>
    <t>📅  DAILY STUDY TIMETABLE  —  AWS DevOps + Linux Admin + AI Tools (3+ YoE)  (Starting 20 March 2026)</t>
  </si>
  <si>
    <t>Rule: 50% Hands-on Labs  |  25% Theory &amp; Docs  |  15% AI Tool Practice  |  10% Interview Q&amp;A — Every day.</t>
  </si>
  <si>
    <t>Time Slot</t>
  </si>
  <si>
    <t>Activity Type</t>
  </si>
  <si>
    <t>Monday</t>
  </si>
  <si>
    <t>Tuesday</t>
  </si>
  <si>
    <t>Wednesday</t>
  </si>
  <si>
    <t>Thursday</t>
  </si>
  <si>
    <t>Friday</t>
  </si>
  <si>
    <t>Saturday</t>
  </si>
  <si>
    <t>Sunday</t>
  </si>
  <si>
    <t>05:30–06:00</t>
  </si>
  <si>
    <t>Warm-up</t>
  </si>
  <si>
    <t>Linux / Networking / AI tools</t>
  </si>
  <si>
    <t>Scripting / Python / boto3</t>
  </si>
  <si>
    <t>Docker / K8s / AI SecOps</t>
  </si>
  <si>
    <t>AWS Services / AI tools</t>
  </si>
  <si>
    <t>CI/CD / GitOps / AIOps</t>
  </si>
  <si>
    <t>Terraform / IaC / AI gen</t>
  </si>
  <si>
    <t>System Design + AI workflow</t>
  </si>
  <si>
    <t>06:00–07:30</t>
  </si>
  <si>
    <t>🎓 Theory</t>
  </si>
  <si>
    <t>07:30–08:00</t>
  </si>
  <si>
    <t>📝 Notes</t>
  </si>
  <si>
    <t>Write key concepts + quiz</t>
  </si>
  <si>
    <t>Week summary</t>
  </si>
  <si>
    <t>Blog/doc a topic</t>
  </si>
  <si>
    <t>08:00–08:15</t>
  </si>
  <si>
    <t>⏸ Break</t>
  </si>
  <si>
    <t>—</t>
  </si>
  <si>
    <t>19:00–20:00</t>
  </si>
  <si>
    <t>🔨 Hands-on 1</t>
  </si>
  <si>
    <t>Linux lab / Bash + AI script review</t>
  </si>
  <si>
    <t>Python / boto3 + AI validation</t>
  </si>
  <si>
    <t>Docker build + Snyk AI scan</t>
  </si>
  <si>
    <t>Terraform apply + Infracost</t>
  </si>
  <si>
    <t>Jenkins / GH Actions + AI YAML</t>
  </si>
  <si>
    <t>Project sprint + Copilot assist</t>
  </si>
  <si>
    <t>Mock interview + AI prep</t>
  </si>
  <si>
    <t>20:00–21:30</t>
  </si>
  <si>
    <t>🔨 Hands-on 2</t>
  </si>
  <si>
    <t>Git workflow + AI commit review</t>
  </si>
  <si>
    <t>AI tool lab (Copilot/Claude/Q)</t>
  </si>
  <si>
    <t>K8s deploy + Wiz / OPA AI</t>
  </si>
  <si>
    <t>AWS console + Amazon Q CLI</t>
  </si>
  <si>
    <t>SonarQube / CD + Datadog AI</t>
  </si>
  <si>
    <t>Project polish + AI docs</t>
  </si>
  <si>
    <t>Apply jobs + AI resume tune</t>
  </si>
  <si>
    <t>21:30–22:00</t>
  </si>
  <si>
    <t>❓ Interview Q</t>
  </si>
  <si>
    <t>Linux + Git Q&amp;A</t>
  </si>
  <si>
    <t>Scripting Q&amp;A</t>
  </si>
  <si>
    <t>Container Q&amp;A</t>
  </si>
  <si>
    <t>AWS Q&amp;A</t>
  </si>
  <si>
    <t>CI/CD Q&amp;A</t>
  </si>
  <si>
    <t>Portfolio review</t>
  </si>
  <si>
    <t>Next week plan</t>
  </si>
  <si>
    <t>22:00–22:15</t>
  </si>
  <si>
    <t>📌 Tracker</t>
  </si>
  <si>
    <t>Update Study Tracker %</t>
  </si>
  <si>
    <t>Update all sheets</t>
  </si>
  <si>
    <t>Set weekly goals</t>
  </si>
  <si>
    <t>📋  WEEK-BY-WEEK TOPIC ASSIGNMENT (What to study each session each week)</t>
  </si>
  <si>
    <t>Dates</t>
  </si>
  <si>
    <t>Mon Morning</t>
  </si>
  <si>
    <t>Tue Morning</t>
  </si>
  <si>
    <t>Wed Morning</t>
  </si>
  <si>
    <t>Thu Morning</t>
  </si>
  <si>
    <t>Fri Morning</t>
  </si>
  <si>
    <t>Sat Sprint</t>
  </si>
  <si>
    <t>Sun Review</t>
  </si>
  <si>
    <t>Mar 20–26</t>
  </si>
  <si>
    <t>Linux internals + systemd + AI script gen</t>
  </si>
  <si>
    <t>Git advanced + Copilot hooks</t>
  </si>
  <si>
    <t>Networking + Amazon Q CLI</t>
  </si>
  <si>
    <t>Bash deep + AI code review</t>
  </si>
  <si>
    <t>Python DevOps + AI boto3 gen</t>
  </si>
  <si>
    <t>Lab: systemd+git+Copilot</t>
  </si>
  <si>
    <t>Review + AI Q&amp;A practice</t>
  </si>
  <si>
    <t>Mar 27–Apr 2</t>
  </si>
  <si>
    <t>Python boto3 + AI validation</t>
  </si>
  <si>
    <t>Bash advanced + Claude prompting</t>
  </si>
  <si>
    <t>Cron + timers + AI scheduling</t>
  </si>
  <si>
    <t>REST API + AI error handling</t>
  </si>
  <si>
    <t>AI script lab: Copilot vs manual</t>
  </si>
  <si>
    <t>Lab: Python AWS + AI compare</t>
  </si>
  <si>
    <t>Review + apply jobs</t>
  </si>
  <si>
    <t>Apr 3–9</t>
  </si>
  <si>
    <t>Docker multi-stage + Copilot Dockerfile</t>
  </si>
  <si>
    <t>Docker + Snyk AI scan + fix</t>
  </si>
  <si>
    <t>Compose + AI networking config</t>
  </si>
  <si>
    <t>Container security + Wiz/Aqua AI</t>
  </si>
  <si>
    <t>Docker best practices + AI review</t>
  </si>
  <si>
    <t>Lab: containerize + Snyk scan</t>
  </si>
  <si>
    <t>Review + AI Q practice</t>
  </si>
  <si>
    <t>Apr 10–16</t>
  </si>
  <si>
    <t>Jenkins + AI Jenkinsfile gen</t>
  </si>
  <si>
    <t>GitHub Actions + OIDC + AI YAML</t>
  </si>
  <si>
    <t>SonarQube + AI quality gates</t>
  </si>
  <si>
    <t>Nexus + AI artifact mgmt</t>
  </si>
  <si>
    <t>CD patterns + Cursor IDE</t>
  </si>
  <si>
    <t>Lab: full CI/CD + AI pipeline</t>
  </si>
  <si>
    <t>Apr 17–23</t>
  </si>
  <si>
    <t>K8s architecture + Datadog AI intro</t>
  </si>
  <si>
    <t>Pods + Deployments + AIOps alerts</t>
  </si>
  <si>
    <t>Services + ConfigMaps + Amazon Q</t>
  </si>
  <si>
    <t>Health probes + PagerDuty AIOps</t>
  </si>
  <si>
    <t>Rolling updates + AI debug help</t>
  </si>
  <si>
    <t>Lab: 3-tier app + AIOps alert</t>
  </si>
  <si>
    <t>Apr 24–30</t>
  </si>
  <si>
    <t>RBAC + ServiceAccounts + Wiz cloud</t>
  </si>
  <si>
    <t>Network Policies + OPA + AI rules</t>
  </si>
  <si>
    <t>HPA + VPA + Dynatrace Davis</t>
  </si>
  <si>
    <t>Helm 3 + AI chart gen</t>
  </si>
  <si>
    <t>Ingress + TLS + AI config review</t>
  </si>
  <si>
    <t>Lab: Helm+RBAC+Wiz scan</t>
  </si>
  <si>
    <t>May 1–7</t>
  </si>
  <si>
    <t>Terraform state + AI module gen</t>
  </si>
  <si>
    <t>Modules + Copilot module design</t>
  </si>
  <si>
    <t>Dynamic blocks + AI for_each gen</t>
  </si>
  <si>
    <t>Atlantis + Infracost AI cost</t>
  </si>
  <si>
    <t>Terragrunt + AI DRY patterns</t>
  </si>
  <si>
    <t>Lab: Terraform + Infracost</t>
  </si>
  <si>
    <t>May 8–14</t>
  </si>
  <si>
    <t>IAM advanced + IAM Analyzer AI</t>
  </si>
  <si>
    <t>VPC + TGW + Amazon Q CLI</t>
  </si>
  <si>
    <t>EC2 ASG + DevOps Guru ML</t>
  </si>
  <si>
    <t>S3 advanced + AI policy gen</t>
  </si>
  <si>
    <t>ALB + WAF + AI rule suggest</t>
  </si>
  <si>
    <t>Lab: cross-acct + AI SecOps</t>
  </si>
  <si>
    <t>May 15–21</t>
  </si>
  <si>
    <t>EKS via Terraform + Dynatrace AI</t>
  </si>
  <si>
    <t>IRSA setup + DevOps Guru</t>
  </si>
  <si>
    <t>AWS LB Controller + AI config</t>
  </si>
  <si>
    <t>Cluster Autoscaler + AIOps</t>
  </si>
  <si>
    <t>ECR scanning + Snyk AI</t>
  </si>
  <si>
    <t>Lab: prod EKS + AI monitoring</t>
  </si>
  <si>
    <t>May 22–28</t>
  </si>
  <si>
    <t>RDS Multi-AZ + AI anomaly detect</t>
  </si>
  <si>
    <t>Lambda + SQS + AI code gen</t>
  </si>
  <si>
    <t>API Gateway + Bedrock LLMOps</t>
  </si>
  <si>
    <t>CloudFront + Route 53 + AI</t>
  </si>
  <si>
    <t>Secrets Manager + AI scripts</t>
  </si>
  <si>
    <t>Lab: event-driven + Bedrock</t>
  </si>
  <si>
    <t>May 29–Jun 4</t>
  </si>
  <si>
    <t>CloudWatch + AI log pattern detect</t>
  </si>
  <si>
    <t>Prometheus + Grafana + Datadog AI</t>
  </si>
  <si>
    <t>SLI/SLO + OTel AI tracing</t>
  </si>
  <si>
    <t>Log Insights + NL query AI</t>
  </si>
  <si>
    <t>Incident runbooks + AI auto-gen</t>
  </si>
  <si>
    <t>Lab: obs stack + AIOps</t>
  </si>
  <si>
    <t>Jun 5–11</t>
  </si>
  <si>
    <t>GuardDuty + Sec Hub + Snyk IaC</t>
  </si>
  <si>
    <t>WAF + KMS + AI policy gen</t>
  </si>
  <si>
    <t>Falco + AI rules + container sec</t>
  </si>
  <si>
    <t>IAM Access Analyzer + AI</t>
  </si>
  <si>
    <t>SAST pipeline + AI code review</t>
  </si>
  <si>
    <t>Lab: security baseline + AI</t>
  </si>
  <si>
    <t>Jun 12–18</t>
  </si>
  <si>
    <t>ArgoCD + AI-generated App YAML</t>
  </si>
  <si>
    <t>Argo Rollouts + Claude Code CLI</t>
  </si>
  <si>
    <t>External Secrets + AI config gen</t>
  </si>
  <si>
    <t>Flux v2 + AI GitOps flow</t>
  </si>
  <si>
    <t>GitOps promotion + AI review</t>
  </si>
  <si>
    <t>Lab: full GitOps + Claude Code</t>
  </si>
  <si>
    <t>Jun 19–25</t>
  </si>
  <si>
    <t>Cost Explorer + Cost Anomaly Det.</t>
  </si>
  <si>
    <t>Spot strategy + Compute Optimizer AI</t>
  </si>
  <si>
    <t>AWS Organizations + AI tagging</t>
  </si>
  <si>
    <t>SCPs + Config + AI remediation</t>
  </si>
  <si>
    <t>Tagging + FinOps AI rightsizing</t>
  </si>
  <si>
    <t>Lab: multi-acct + AI cost opt</t>
  </si>
  <si>
    <t>Jun 26–Jul 2</t>
  </si>
  <si>
    <t>System design + AI architecture gen</t>
  </si>
  <si>
    <t>DR design + AI runbook gen</t>
  </si>
  <si>
    <t>Zero-downtime + AI deploy plan</t>
  </si>
  <si>
    <t>Microservices + AI ADR writing</t>
  </si>
  <si>
    <t>ADR writing + AI critique</t>
  </si>
  <si>
    <t>Architecture diagrams + AI docs</t>
  </si>
  <si>
    <t>Portfolio polish + AI README</t>
  </si>
  <si>
    <t>Jul 3–9</t>
  </si>
  <si>
    <t>STAR stories + AI interview prep</t>
  </si>
  <si>
    <t>Behavioural mock + AI feedback</t>
  </si>
  <si>
    <t>Technical mock 1 + AI review</t>
  </si>
  <si>
    <t>Technical mock 2 + AI tools story</t>
  </si>
  <si>
    <t>Salary negotiation + AI research</t>
  </si>
  <si>
    <t>Final resume + AI LinkedIn opt</t>
  </si>
  <si>
    <t>Apply + negotiate + AI assist</t>
  </si>
  <si>
    <t>🤖  AI TOOLS LEGEND — All tools integrated into weekly schedule above</t>
  </si>
  <si>
    <t xml:space="preserve">  ✅  GitHub Copilot / Claude / Cursor</t>
  </si>
  <si>
    <t>AI script gen, IaC drafting, code review — daily from Week 1</t>
  </si>
  <si>
    <t xml:space="preserve">  ✅  Amazon Q Developer</t>
  </si>
  <si>
    <t>AWS CLI suggestions, IAM policy gen, console AI — Weeks 2, 8</t>
  </si>
  <si>
    <t xml:space="preserve">  ✅  Snyk AI / Trivy AI</t>
  </si>
  <si>
    <t>Container + IaC security scanning with AI-prioritised CVE fixes — Weeks 3, 12</t>
  </si>
  <si>
    <t xml:space="preserve">  ✅  Wiz / Aqua Security</t>
  </si>
  <si>
    <t>Cloud-native security posture; K8s + AWS misconfig via AI — Weeks 6, 12</t>
  </si>
  <si>
    <t xml:space="preserve">  ✅  Datadog Watchdog AI</t>
  </si>
  <si>
    <t>AI anomaly detection, log pattern analysis, NL log queries — Weeks 5, 11</t>
  </si>
  <si>
    <t xml:space="preserve">  ✅  PagerDuty AIOps</t>
  </si>
  <si>
    <t>Event correlation, noise reduction, AI incident routing — Week 5</t>
  </si>
  <si>
    <t xml:space="preserve">  ✅  Dynatrace Davis AI</t>
  </si>
  <si>
    <t>Root cause AI analysis for EKS + microservices — Weeks 9, 11</t>
  </si>
  <si>
    <t xml:space="preserve">  ✅  AWS DevOps Guru</t>
  </si>
  <si>
    <t>ML-powered operational insights for AWS resources — Week 9</t>
  </si>
  <si>
    <t xml:space="preserve">  ✅  AWS Bedrock (LLMOps)</t>
  </si>
  <si>
    <t>Model inference API, Lambda + Bedrock integration basics — Week 10</t>
  </si>
  <si>
    <t xml:space="preserve">  ✅  Infracost + AI cost est.</t>
  </si>
  <si>
    <t>AI cost estimation for Terraform plans before apply — Week 7</t>
  </si>
  <si>
    <t xml:space="preserve">  ✅  AWS Cost Anomaly Detection</t>
  </si>
  <si>
    <t>ML-based budget alerts; Compute Optimizer AI rightsizing — Week 14</t>
  </si>
  <si>
    <t xml:space="preserve">  ✅  Claude Code CLI</t>
  </si>
  <si>
    <t>Agentic code edits on Terraform / K8s repos in terminal — Week 13</t>
  </si>
  <si>
    <t xml:space="preserve">  ✅  OPA / Gatekeeper + AI</t>
  </si>
  <si>
    <t>Policy-as-code with AI rule gen; K8s admission control — Week 6</t>
  </si>
  <si>
    <t xml:space="preserve">  ✅  IAM Access Analyzer + AI</t>
  </si>
  <si>
    <t>AI-generated IAM findings + remediation suggestions — Week 8</t>
  </si>
  <si>
    <t>📚  DAILY STUDY TRACKER  —  Fill in Actual Hours &amp; Status every evening</t>
  </si>
  <si>
    <t>Date</t>
  </si>
  <si>
    <t>Day</t>
  </si>
  <si>
    <t>Topic</t>
  </si>
  <si>
    <t>Subtopic / Lab Task</t>
  </si>
  <si>
    <t>Planned Hrs</t>
  </si>
  <si>
    <t>Actual Hrs</t>
  </si>
  <si>
    <t>Status</t>
  </si>
  <si>
    <t>% Complete</t>
  </si>
  <si>
    <t>GitHub/Evidence Link</t>
  </si>
  <si>
    <t>Interview Q Practiced</t>
  </si>
  <si>
    <t>Notes</t>
  </si>
  <si>
    <t>2026-03-20</t>
  </si>
  <si>
    <t>Fri</t>
  </si>
  <si>
    <t>Linux</t>
  </si>
  <si>
    <t>Linux Internals</t>
  </si>
  <si>
    <t>cgroups, namespaces, systemd units deep dive</t>
  </si>
  <si>
    <t>Not started</t>
  </si>
  <si>
    <t>Linux Hands-on</t>
  </si>
  <si>
    <t>Write 2 systemd service units; journal log analysis</t>
  </si>
  <si>
    <t>2026-03-21</t>
  </si>
  <si>
    <t>Sat</t>
  </si>
  <si>
    <t>Git</t>
  </si>
  <si>
    <t>Git Advanced</t>
  </si>
  <si>
    <t>Rebase interactive, cherry-pick, bisect, reflog</t>
  </si>
  <si>
    <t>Networking</t>
  </si>
  <si>
    <t>DNS deep dive, iptables rules, tcpdump capture</t>
  </si>
  <si>
    <t>2026-03-22</t>
  </si>
  <si>
    <t>Sun</t>
  </si>
  <si>
    <t>Linux Review</t>
  </si>
  <si>
    <t>Review notes + 10 interview Qs; plan Week 2</t>
  </si>
  <si>
    <t>2026-03-23</t>
  </si>
  <si>
    <t>Mon</t>
  </si>
  <si>
    <t>Linux Advanced</t>
  </si>
  <si>
    <t>Process scheduling, /proc fs, file descriptors</t>
  </si>
  <si>
    <t>Lab</t>
  </si>
  <si>
    <t>Troubleshoot broken systemd service; script automation</t>
  </si>
  <si>
    <t>2026-03-24</t>
  </si>
  <si>
    <t>Tue</t>
  </si>
  <si>
    <t>Git Hooks</t>
  </si>
  <si>
    <t>Pre-commit, post-merge hooks; GitHub branch protection</t>
  </si>
  <si>
    <t>TLS/SSL</t>
  </si>
  <si>
    <t>Certificate chain, openssl commands, HTTPS internals</t>
  </si>
  <si>
    <t>2026-03-25</t>
  </si>
  <si>
    <t>Wed</t>
  </si>
  <si>
    <t>Networking Lab</t>
  </si>
  <si>
    <t>Configure iptables; trace a TCP connection end-to-end</t>
  </si>
  <si>
    <t>Scripting</t>
  </si>
  <si>
    <t>Bash Basics</t>
  </si>
  <si>
    <t>Bash functions, error handling, trap, getopts</t>
  </si>
  <si>
    <t>2026-03-26</t>
  </si>
  <si>
    <t>Thu</t>
  </si>
  <si>
    <t>Bash Lab</t>
  </si>
  <si>
    <t>Backup script with rotate+logging+email alert</t>
  </si>
  <si>
    <t>Interview Prep</t>
  </si>
  <si>
    <t>W1 Q&amp;A Drill</t>
  </si>
  <si>
    <t>Linux + Git + Networking interview questions x20</t>
  </si>
  <si>
    <t>2026-03-27</t>
  </si>
  <si>
    <t>Python DevOps</t>
  </si>
  <si>
    <t>argparse, subprocess, os, shutil; Python project structure</t>
  </si>
  <si>
    <t>Python Lab</t>
  </si>
  <si>
    <t>Python script to monitor disk + send alert via SNS</t>
  </si>
  <si>
    <t>2026-03-28</t>
  </si>
  <si>
    <t>boto3 Deep Dive</t>
  </si>
  <si>
    <t>boto3: EC2, S3, IAM, CloudWatch APIs; pagination</t>
  </si>
  <si>
    <t>boto3 Lab</t>
  </si>
  <si>
    <t>Python: auto-tag untagged AWS resources; list+stop idle EC2</t>
  </si>
  <si>
    <t>2026-03-29</t>
  </si>
  <si>
    <t>Review + Apply</t>
  </si>
  <si>
    <t>Notes review; apply to 5 jobs; plan Week 3</t>
  </si>
  <si>
    <t>2026-03-30</t>
  </si>
  <si>
    <t>Bash Advanced</t>
  </si>
  <si>
    <t>Heredoc, process substitution, parallel execution, jq</t>
  </si>
  <si>
    <t>Multi-server deploy script with SSH + error handling</t>
  </si>
  <si>
    <t>2026-03-31</t>
  </si>
  <si>
    <t>Python REST APIs</t>
  </si>
  <si>
    <t>requests lib; call AWS APIs; parse JSON; retry logic</t>
  </si>
  <si>
    <t>Script: pull CloudWatch metrics and generate CSV report</t>
  </si>
  <si>
    <t>2026-04-01</t>
  </si>
  <si>
    <t>Cron + Timers</t>
  </si>
  <si>
    <t>Cron syntax; systemd timers; schedule Python jobs</t>
  </si>
  <si>
    <t>Scripting interview questions + live code drill</t>
  </si>
  <si>
    <t>2026-04-02</t>
  </si>
  <si>
    <t>Scripting Lab</t>
  </si>
  <si>
    <t>End-to-end: Python pipeline script; push results to S3</t>
  </si>
  <si>
    <t>2026-04-03</t>
  </si>
  <si>
    <t>Docker</t>
  </si>
  <si>
    <t>Docker Multi-stage</t>
  </si>
  <si>
    <t>Multi-stage Dockerfile; BuildKit; .dockerignore</t>
  </si>
  <si>
    <t>Docker Lab</t>
  </si>
  <si>
    <t>Build Java app multi-stage; compare image sizes</t>
  </si>
  <si>
    <t>2026-04-04</t>
  </si>
  <si>
    <t>Docker Security</t>
  </si>
  <si>
    <t>Trivy scan; rootless containers; AppArmor/seccomp</t>
  </si>
  <si>
    <t>Docker Compose</t>
  </si>
  <si>
    <t>Compose v2: Nginx + App + Postgres; health checks; volumes</t>
  </si>
  <si>
    <t>Docker Review</t>
  </si>
  <si>
    <t>Review + interview Q; push image to ECR</t>
  </si>
  <si>
    <t>2026-04-06</t>
  </si>
  <si>
    <t>Container Networking</t>
  </si>
  <si>
    <t>Bridge, host, overlay networks; DNS resolution in Docker</t>
  </si>
  <si>
    <t>Container Lab</t>
  </si>
  <si>
    <t>Multi-service app; custom network; service discovery</t>
  </si>
  <si>
    <t>2026-04-07</t>
  </si>
  <si>
    <t>Docker Best Practices</t>
  </si>
  <si>
    <t>Layer caching; minimal base images; non-root user</t>
  </si>
  <si>
    <t>Optimise existing Dockerfile; Trivy scan + fix vulns</t>
  </si>
  <si>
    <t>2026-04-08</t>
  </si>
  <si>
    <t>Container Internals</t>
  </si>
  <si>
    <t>cgroups + namespaces in practice; OCI spec</t>
  </si>
  <si>
    <t>Container security interview questions x20</t>
  </si>
  <si>
    <t>2026-04-09</t>
  </si>
  <si>
    <t>Docker Final Lab</t>
  </si>
  <si>
    <t>Full containerised app stack to ECR; push + pull</t>
  </si>
  <si>
    <t>2026-04-10</t>
  </si>
  <si>
    <t>CI/CD</t>
  </si>
  <si>
    <t>Jenkins Pipelines</t>
  </si>
  <si>
    <t>Declarative Jenkinsfile; shared libraries; agents</t>
  </si>
  <si>
    <t>Jenkins Lab</t>
  </si>
  <si>
    <t>Multi-stage pipeline: test→build→docker→ECR</t>
  </si>
  <si>
    <t>2026-04-11</t>
  </si>
  <si>
    <t>GitHub Actions</t>
  </si>
  <si>
    <t>Reusable workflows; matrix builds; OIDC to AWS</t>
  </si>
  <si>
    <t>GHA Lab</t>
  </si>
  <si>
    <t>GHA: OIDC assume-role; build+push ECR; deploy</t>
  </si>
  <si>
    <t>2026-04-12</t>
  </si>
  <si>
    <t>Notes; apply to 8 jobs; plan Week 5</t>
  </si>
  <si>
    <t>2026-04-13</t>
  </si>
  <si>
    <t>SonarQube</t>
  </si>
  <si>
    <t>Quality gates; rules; pipeline integration</t>
  </si>
  <si>
    <t>SonarQube Lab</t>
  </si>
  <si>
    <t>SonarQube + Jenkins: block deploy on quality gate fail</t>
  </si>
  <si>
    <t>2026-04-14</t>
  </si>
  <si>
    <t>Nexus/Artifactory</t>
  </si>
  <si>
    <t>Artifact management; Maven + npm repos; proxying</t>
  </si>
  <si>
    <t>Artifacts Lab</t>
  </si>
  <si>
    <t>Nexus: push+pull Docker image; Maven artifact pipeline</t>
  </si>
  <si>
    <t>2026-04-15</t>
  </si>
  <si>
    <t>CD Patterns</t>
  </si>
  <si>
    <t>Blue-green; canary; rolling; feature flags in CD</t>
  </si>
  <si>
    <t>CI/CD interview questions x25 + live scenario</t>
  </si>
  <si>
    <t>2026-04-16</t>
  </si>
  <si>
    <t>Full Pipeline Lab</t>
  </si>
  <si>
    <t>End-to-end: code→SonarQube→Docker→ECR→K8s deploy</t>
  </si>
  <si>
    <t>2026-04-17</t>
  </si>
  <si>
    <t>Kubernetes</t>
  </si>
  <si>
    <t>K8s Architecture</t>
  </si>
  <si>
    <t>API server, etcd, scheduler, kubelet, kube-proxy</t>
  </si>
  <si>
    <t>K8s Lab</t>
  </si>
  <si>
    <t>minikube/kind; deploy Nginx; inspect all components</t>
  </si>
  <si>
    <t>2026-04-18</t>
  </si>
  <si>
    <t>Workloads</t>
  </si>
  <si>
    <t>Pods, RS, Deployments, StatefulSets, DaemonSets, Jobs</t>
  </si>
  <si>
    <t>3-tier app deploy; rolling update; rollback; scale</t>
  </si>
  <si>
    <t>2026-04-19</t>
  </si>
  <si>
    <t>K8s Review</t>
  </si>
  <si>
    <t>Review + interview Q; apply to 5 jobs</t>
  </si>
  <si>
    <t>2026-04-20</t>
  </si>
  <si>
    <t>Services + Config</t>
  </si>
  <si>
    <t>ClusterIP/NP/LB; ConfigMaps; Secrets; env injection</t>
  </si>
  <si>
    <t>Service types; ConfigMap/Secret mount; env override</t>
  </si>
  <si>
    <t>2026-04-21</t>
  </si>
  <si>
    <t>Probes + Resources</t>
  </si>
  <si>
    <t>Liveness/readiness/startup probes; requests+limits; QoS</t>
  </si>
  <si>
    <t>K8s Debug Lab</t>
  </si>
  <si>
    <t>Simulate and fix: CrashLoop, OOMKilled, Pending, ImagePull</t>
  </si>
  <si>
    <t>2026-04-22</t>
  </si>
  <si>
    <t>Storage</t>
  </si>
  <si>
    <t>PV, PVC, StorageClass, CSI; StatefulSet with storage</t>
  </si>
  <si>
    <t>K8s Q&amp;A</t>
  </si>
  <si>
    <t>K8s architecture + workload interview Qs x25</t>
  </si>
  <si>
    <t>2026-04-23</t>
  </si>
  <si>
    <t>K8s Lab Full</t>
  </si>
  <si>
    <t>Full app on K8s: Deploy+SVC+CM+Secret+PVC+probes</t>
  </si>
  <si>
    <t>2026-04-24</t>
  </si>
  <si>
    <t>RBAC</t>
  </si>
  <si>
    <t>ClusterRole, RoleBinding, ServiceAccount; audit logs</t>
  </si>
  <si>
    <t>RBAC Lab</t>
  </si>
  <si>
    <t>Create dev/ops roles; test permissions; service account token</t>
  </si>
  <si>
    <t>2026-04-25</t>
  </si>
  <si>
    <t>Helm 3</t>
  </si>
  <si>
    <t>Chart structure; templates; values.yaml; hooks; registry</t>
  </si>
  <si>
    <t>Helm Lab</t>
  </si>
  <si>
    <t>Helm chart for 3-tier app; staging/prod values; upgrade</t>
  </si>
  <si>
    <t>K8s Adv Review</t>
  </si>
  <si>
    <t>Notes + apply 8 jobs; plan Week 7</t>
  </si>
  <si>
    <t>2026-04-27</t>
  </si>
  <si>
    <t>HPA + Network Policy</t>
  </si>
  <si>
    <t>HPA CPU/mem; KEDA intro; NetworkPolicy ingress/egress</t>
  </si>
  <si>
    <t>HPA demo under load; NetworkPolicy block unwanted traffic</t>
  </si>
  <si>
    <t>2026-04-28</t>
  </si>
  <si>
    <t>Ingress + Nginx</t>
  </si>
  <si>
    <t>Nginx Ingress Controller; TLS termination; path routing</t>
  </si>
  <si>
    <t>Ingress Lab</t>
  </si>
  <si>
    <t>Expose app via Ingress; TLS cert via cert-manager</t>
  </si>
  <si>
    <t>2026-04-29</t>
  </si>
  <si>
    <t>Pod Security</t>
  </si>
  <si>
    <t>Pod Security Standards; securityContext; OPA/Gatekeeper intro</t>
  </si>
  <si>
    <t>K8s Adv Q&amp;A</t>
  </si>
  <si>
    <t>RBAC + Helm + HPA + security interview Qs x25</t>
  </si>
  <si>
    <t>2026-04-30</t>
  </si>
  <si>
    <t>K8s Project</t>
  </si>
  <si>
    <t>Helm + RBAC + HPA + NetPol + Ingress + TLS all together</t>
  </si>
  <si>
    <t>2026-05-01</t>
  </si>
  <si>
    <t>Terraform</t>
  </si>
  <si>
    <t>TF State Advanced</t>
  </si>
  <si>
    <t>Remote state S3+DynamoDB; locking; state mv/rm/import</t>
  </si>
  <si>
    <t>TF Lab</t>
  </si>
  <si>
    <t>Remote backend setup; import existing AWS resource</t>
  </si>
  <si>
    <t>2026-05-02</t>
  </si>
  <si>
    <t>TF Modules</t>
  </si>
  <si>
    <t>Module structure; input/output; versioning; registry</t>
  </si>
  <si>
    <t>Build reusable VPC module + EC2 module; publish</t>
  </si>
  <si>
    <t>2026-05-03</t>
  </si>
  <si>
    <t>TF Review</t>
  </si>
  <si>
    <t>Notes + apply 5 jobs; plan Week 8</t>
  </si>
  <si>
    <t>2026-05-04</t>
  </si>
  <si>
    <t>TF Advanced</t>
  </si>
  <si>
    <t>for_each, count, dynamic blocks, locals, conditions</t>
  </si>
  <si>
    <t>Provision 3 envs (dev/stg/prd) with for_each</t>
  </si>
  <si>
    <t>2026-05-05</t>
  </si>
  <si>
    <t>Atlantis</t>
  </si>
  <si>
    <t>Atlantis PR workflow; plan+apply on merge; policy checks</t>
  </si>
  <si>
    <t>Atlantis Lab</t>
  </si>
  <si>
    <t>Atlantis on EC2; plan on PR; apply on merge approval</t>
  </si>
  <si>
    <t>2026-05-06</t>
  </si>
  <si>
    <t>Terragrunt</t>
  </si>
  <si>
    <t>DRY Terraform; Terragrunt keep_your_code_dry pattern</t>
  </si>
  <si>
    <t>TF Q&amp;A</t>
  </si>
  <si>
    <t>Terraform interview Qs x25; state troubleshooting</t>
  </si>
  <si>
    <t>2026-05-07</t>
  </si>
  <si>
    <t>TF Full Lab</t>
  </si>
  <si>
    <t>Full AWS stack: VPC+EC2+RDS+ALB+ASG using modules</t>
  </si>
  <si>
    <t>2026-05-08</t>
  </si>
  <si>
    <t>AWS</t>
  </si>
  <si>
    <t>IAM Advanced</t>
  </si>
  <si>
    <t>Permission boundaries; SCP; inline vs managed; conditions</t>
  </si>
  <si>
    <t>IAM Lab</t>
  </si>
  <si>
    <t>Cross-account assume-role; SCP deny non-approved regions</t>
  </si>
  <si>
    <t>2026-05-09</t>
  </si>
  <si>
    <t>VPC Advanced</t>
  </si>
  <si>
    <t>TGW; VPC peering; PrivateLink; VPN; Direct Connect concepts</t>
  </si>
  <si>
    <t>VPC Lab</t>
  </si>
  <si>
    <t>TGW connect 2 VPCs; private subnet routing; NAT Gateway</t>
  </si>
  <si>
    <t>2026-05-10</t>
  </si>
  <si>
    <t>AWS Review</t>
  </si>
  <si>
    <t>Notes + apply 8 jobs; plan Week 9</t>
  </si>
  <si>
    <t>2026-05-11</t>
  </si>
  <si>
    <t>EC2 + ASG Advanced</t>
  </si>
  <si>
    <t>Launch templates; lifecycle hooks; mixed instances; spot</t>
  </si>
  <si>
    <t>EC2 Lab</t>
  </si>
  <si>
    <t>ASG lifecycle hook for graceful drain; spot+on-demand mix</t>
  </si>
  <si>
    <t>2026-05-12</t>
  </si>
  <si>
    <t>S3 Advanced</t>
  </si>
  <si>
    <t>Versioning; lifecycle; replication; pre-signed URLs; events</t>
  </si>
  <si>
    <t>S3 Lab</t>
  </si>
  <si>
    <t>S3 CRR; lifecycle to Glacier; S3 event → Lambda trigger</t>
  </si>
  <si>
    <t>2026-05-13</t>
  </si>
  <si>
    <t>ALB + WAF</t>
  </si>
  <si>
    <t>ALB routing rules; target groups; HTTPS; WAF OWASP rules</t>
  </si>
  <si>
    <t>AWS Core Q&amp;A</t>
  </si>
  <si>
    <t>IAM + VPC + EC2 + S3 interview Qs x30</t>
  </si>
  <si>
    <t>2026-05-14</t>
  </si>
  <si>
    <t>AWS Full Lab</t>
  </si>
  <si>
    <t>HA web stack: ALB+ASG+EC2+RDS+S3; Terraform provisioned</t>
  </si>
  <si>
    <t>2026-05-15</t>
  </si>
  <si>
    <t>AWS EKS</t>
  </si>
  <si>
    <t>EKS Architecture</t>
  </si>
  <si>
    <t>Managed vs self-managed; Fargate; EKS add-ons; CNI</t>
  </si>
  <si>
    <t>EKS Lab</t>
  </si>
  <si>
    <t>EKS cluster via Terraform or eksctl</t>
  </si>
  <si>
    <t>2026-05-16</t>
  </si>
  <si>
    <t>IRSA</t>
  </si>
  <si>
    <t>IAM Roles for Service Accounts; OIDC provider; token injection</t>
  </si>
  <si>
    <t>IRSA Lab</t>
  </si>
  <si>
    <t>IRSA for S3 access from pod; no long-lived keys</t>
  </si>
  <si>
    <t>EKS Review</t>
  </si>
  <si>
    <t>Notes + apply 5 jobs; plan Week 10</t>
  </si>
  <si>
    <t>2026-05-18</t>
  </si>
  <si>
    <t>AWS LB Controller</t>
  </si>
  <si>
    <t>NLB/ALB via Kubernetes Ingress; ExternalDNS; Route53</t>
  </si>
  <si>
    <t>Deploy AWS LB Controller; Ingress → NLB; ExternalDNS</t>
  </si>
  <si>
    <t>2026-05-19</t>
  </si>
  <si>
    <t>Cluster Autoscaler</t>
  </si>
  <si>
    <t>CA vs Karpenter; node group scaling; spot interruption</t>
  </si>
  <si>
    <t>Cluster Autoscaler; scale from 0; Karpenter provisioner</t>
  </si>
  <si>
    <t>2026-05-20</t>
  </si>
  <si>
    <t>ECR + Image Scanning</t>
  </si>
  <si>
    <t>ECR lifecycle; image scanning; scan-on-push; results</t>
  </si>
  <si>
    <t>EKS Q&amp;A</t>
  </si>
  <si>
    <t>EKS interview Qs x25; IRSA + CA + upgrade</t>
  </si>
  <si>
    <t>2026-05-21</t>
  </si>
  <si>
    <t>EKS Full Lab</t>
  </si>
  <si>
    <t>Prod-like EKS: IRSA+CA+ALB+DNS+ECR+monitoring</t>
  </si>
  <si>
    <t>2026-05-22</t>
  </si>
  <si>
    <t>AWS Advanced</t>
  </si>
  <si>
    <t>RDS Advanced</t>
  </si>
  <si>
    <t>Multi-AZ; read replicas; parameter groups; IAM auth</t>
  </si>
  <si>
    <t>RDS Lab</t>
  </si>
  <si>
    <t>RDS Multi-AZ failover test; connect from app with IAM auth</t>
  </si>
  <si>
    <t>2026-05-23</t>
  </si>
  <si>
    <t>Lambda + SQS</t>
  </si>
  <si>
    <t>Lambda triggers; SQS DLQ; concurrency; cold start mitigation</t>
  </si>
  <si>
    <t>Lambda Lab</t>
  </si>
  <si>
    <t>Lambda → SQS → DLQ pipeline; alarm on DLQ depth</t>
  </si>
  <si>
    <t>2026-05-24</t>
  </si>
  <si>
    <t>Notes + apply 8 jobs; plan Week 11</t>
  </si>
  <si>
    <t>2026-05-25</t>
  </si>
  <si>
    <t>API GW + CloudFront</t>
  </si>
  <si>
    <t>REST API GW; Lambda integration; CloudFront + S3 OAI</t>
  </si>
  <si>
    <t>API GW REST API + Lambda backend; CF distribution</t>
  </si>
  <si>
    <t>2026-05-26</t>
  </si>
  <si>
    <t>Route 53 + Failover</t>
  </si>
  <si>
    <t>Health checks; failover; weighted; latency routing</t>
  </si>
  <si>
    <t>Route 53 active-passive failover; ALB health check</t>
  </si>
  <si>
    <t>2026-05-27</t>
  </si>
  <si>
    <t>Secrets Manager</t>
  </si>
  <si>
    <t>Secret rotation; Lambda rotator; Param Store comparison</t>
  </si>
  <si>
    <t>AWS Adv Q&amp;A</t>
  </si>
  <si>
    <t>RDS + Lambda + CloudFront interview Qs x30</t>
  </si>
  <si>
    <t>2026-05-28</t>
  </si>
  <si>
    <t>Event-driven Lab</t>
  </si>
  <si>
    <t>Full event-driven: S3→Lambda→SQS→Lambda→DynamoDB</t>
  </si>
  <si>
    <t>2026-05-29</t>
  </si>
  <si>
    <t>Observability</t>
  </si>
  <si>
    <t>CloudWatch Advanced</t>
  </si>
  <si>
    <t>Custom metrics; metric math; composite alarms; dashboards</t>
  </si>
  <si>
    <t>CW Lab</t>
  </si>
  <si>
    <t>Custom metric + alarm + SNS notify; Log Insights queries</t>
  </si>
  <si>
    <t>2026-05-30</t>
  </si>
  <si>
    <t>Prometheus + Grafana</t>
  </si>
  <si>
    <t>kube-prometheus-stack; PromQL; dashboards; alerting</t>
  </si>
  <si>
    <t>P+G Lab</t>
  </si>
  <si>
    <t>Prometheus on EKS; Grafana dashboard; alert on p99</t>
  </si>
  <si>
    <t>2026-05-31</t>
  </si>
  <si>
    <t>Notes + apply 8 jobs; plan Week 12</t>
  </si>
  <si>
    <t>2026-06-01</t>
  </si>
  <si>
    <t>SLI/SLO/Error Budget</t>
  </si>
  <si>
    <t>Define SLIs; SLO targets; error budget policy; burn rate</t>
  </si>
  <si>
    <t>SRE Lab</t>
  </si>
  <si>
    <t>Document SLO for a service; create error budget alert</t>
  </si>
  <si>
    <t>2026-06-02</t>
  </si>
  <si>
    <t>Tracing</t>
  </si>
  <si>
    <t>X-Ray; OpenTelemetry; distributed tracing concepts</t>
  </si>
  <si>
    <t>Tracing Lab</t>
  </si>
  <si>
    <t>X-Ray on Lambda; trace API call end-to-end</t>
  </si>
  <si>
    <t>2026-06-03</t>
  </si>
  <si>
    <t>Incident Mgmt</t>
  </si>
  <si>
    <t>Runbooks; post-mortems; on-call; alerting fatigue</t>
  </si>
  <si>
    <t>Obs Q&amp;A</t>
  </si>
  <si>
    <t>Observability + SRE interview Qs x25</t>
  </si>
  <si>
    <t>2026-06-04</t>
  </si>
  <si>
    <t>Obs Full Lab</t>
  </si>
  <si>
    <t>Full obs stack: CW + Prometheus + Grafana + SLO alerts</t>
  </si>
  <si>
    <t>2026-06-05</t>
  </si>
  <si>
    <t>Security</t>
  </si>
  <si>
    <t>GuardDuty + SecHub</t>
  </si>
  <si>
    <t>Enable + configure; findings; suppression; custom rules</t>
  </si>
  <si>
    <t>Security Lab</t>
  </si>
  <si>
    <t>GuardDuty + Security Hub; simulate finding; remediate</t>
  </si>
  <si>
    <t>2026-06-06</t>
  </si>
  <si>
    <t>WAF + KMS</t>
  </si>
  <si>
    <t>WAF OWASP rules; rate limiting; KMS CMK; key rotation</t>
  </si>
  <si>
    <t>WAF block SQLi + XSS; KMS-encrypt RDS + S3</t>
  </si>
  <si>
    <t>Notes + apply 8 jobs; plan Week 13</t>
  </si>
  <si>
    <t>2026-06-08</t>
  </si>
  <si>
    <t>Container Security</t>
  </si>
  <si>
    <t>Falco; image scanning; securityContext; PSS; distroless</t>
  </si>
  <si>
    <t>Container Sec Lab</t>
  </si>
  <si>
    <t>Falco on EKS; detect privilege escalation; alert</t>
  </si>
  <si>
    <t>2026-06-09</t>
  </si>
  <si>
    <t>IAM Access Analyzer</t>
  </si>
  <si>
    <t>Findings; external access; unused access; archive rules</t>
  </si>
  <si>
    <t>IAM Sec Lab</t>
  </si>
  <si>
    <t>Access Analyzer; fix public S3 + over-privileged role</t>
  </si>
  <si>
    <t>2026-06-10</t>
  </si>
  <si>
    <t>SAST in Pipeline</t>
  </si>
  <si>
    <t>SonarQube + Checkmarx; DAST concepts; dep scanning</t>
  </si>
  <si>
    <t>Security Q&amp;A</t>
  </si>
  <si>
    <t>Security interview Qs x30; WAF + GuardDuty + KMS</t>
  </si>
  <si>
    <t>2026-06-11</t>
  </si>
  <si>
    <t>Security Full Lab</t>
  </si>
  <si>
    <t>Security baseline: WAF+GD+SecHub+Falco+KMS+SAST</t>
  </si>
  <si>
    <t>2026-06-12</t>
  </si>
  <si>
    <t>GitOps</t>
  </si>
  <si>
    <t>ArgoCD Basics</t>
  </si>
  <si>
    <t>App of apps; sync policy; health checks; RBAC</t>
  </si>
  <si>
    <t>ArgoCD Lab</t>
  </si>
  <si>
    <t>Deploy app-of-apps managing dev/stg/prd namespaces</t>
  </si>
  <si>
    <t>2026-06-13</t>
  </si>
  <si>
    <t>Argo Rollouts</t>
  </si>
  <si>
    <t>Canary; blue-green; analysis templates; auto-promote</t>
  </si>
  <si>
    <t>Rollouts Lab</t>
  </si>
  <si>
    <t>Canary deploy with header-based analysis; auto rollback</t>
  </si>
  <si>
    <t>2026-06-14</t>
  </si>
  <si>
    <t>Notes + apply 8 jobs; plan Week 14</t>
  </si>
  <si>
    <t>2026-06-15</t>
  </si>
  <si>
    <t>External Secrets</t>
  </si>
  <si>
    <t>ESO + AWS Secrets Manager; SecretStore; ExternalSecret</t>
  </si>
  <si>
    <t>ESO Lab</t>
  </si>
  <si>
    <t>ESO pulling secrets from Secrets Manager into K8s pods</t>
  </si>
  <si>
    <t>2026-06-16</t>
  </si>
  <si>
    <t>Flux v2</t>
  </si>
  <si>
    <t>HelmRelease + Kustomization controllers; image automation</t>
  </si>
  <si>
    <t>Flux Lab</t>
  </si>
  <si>
    <t>Flux manage HelmRelease; image update automation</t>
  </si>
  <si>
    <t>2026-06-17</t>
  </si>
  <si>
    <t>Promotion Patterns</t>
  </si>
  <si>
    <t>Multi-env GitOps PR promotion; environment branches</t>
  </si>
  <si>
    <t>GitOps Q&amp;A</t>
  </si>
  <si>
    <t>GitOps interview Qs x25; ArgoCD vs Flux; secrets in Git</t>
  </si>
  <si>
    <t>2026-06-18</t>
  </si>
  <si>
    <t>GitOps Full Lab</t>
  </si>
  <si>
    <t>Full GitOps: ArgoCD app-of-apps + Rollouts + ESO</t>
  </si>
  <si>
    <t>2026-06-19</t>
  </si>
  <si>
    <t>Cost Opt</t>
  </si>
  <si>
    <t>Cost Explorer</t>
  </si>
  <si>
    <t>Cost Explorer; Budgets; alerts; Savings Plans analysis</t>
  </si>
  <si>
    <t>Cost Lab</t>
  </si>
  <si>
    <t>Cost dashboard; budget alarm; rightsizing recommendations</t>
  </si>
  <si>
    <t>2026-06-20</t>
  </si>
  <si>
    <t>Spot Strategy</t>
  </si>
  <si>
    <t>Spot instances; interruption handling; mixed fleet ASG</t>
  </si>
  <si>
    <t>Multi-Account</t>
  </si>
  <si>
    <t>AWS Orgs + Control Tower</t>
  </si>
  <si>
    <t>Landing Zone; account vending; SCP design; Config rules</t>
  </si>
  <si>
    <t>2026-06-21</t>
  </si>
  <si>
    <t>Notes + apply 10 jobs; plan Week 15</t>
  </si>
  <si>
    <t>2026-06-22</t>
  </si>
  <si>
    <t>SCP + Tagging</t>
  </si>
  <si>
    <t>SCP to restrict regions; mandatory tags; Config rules</t>
  </si>
  <si>
    <t>Multi-Acct Lab</t>
  </si>
  <si>
    <t>SCP lab; Tag policy; Config rule: require-tags</t>
  </si>
  <si>
    <t>2026-06-23</t>
  </si>
  <si>
    <t>FinOps</t>
  </si>
  <si>
    <t>FinOps culture; chargeback; showback; unit economics</t>
  </si>
  <si>
    <t>FinOps Lab</t>
  </si>
  <si>
    <t>Cost allocation tags; department dashboard in Cost Explorer</t>
  </si>
  <si>
    <t>2026-06-24</t>
  </si>
  <si>
    <t>Savings Plans</t>
  </si>
  <si>
    <t>Reserved vs Savings Plan; Compute SP; EC2 SP analysis</t>
  </si>
  <si>
    <t>Cost Q&amp;A</t>
  </si>
  <si>
    <t>Cost + multi-account interview Qs x20</t>
  </si>
  <si>
    <t>2026-06-25</t>
  </si>
  <si>
    <t>Full: Org + SCP + Config + Budget + CW cross-acct logs</t>
  </si>
  <si>
    <t>2026-06-26</t>
  </si>
  <si>
    <t>System Design</t>
  </si>
  <si>
    <t>CI/CD at Scale</t>
  </si>
  <si>
    <t>Design CI/CD for 100 microservices; team isolation</t>
  </si>
  <si>
    <t>2026-06-27</t>
  </si>
  <si>
    <t>DR Design</t>
  </si>
  <si>
    <t>Active-active vs active-passive; RTO/RPO; Route53 failover</t>
  </si>
  <si>
    <t>Architecture Diagrams</t>
  </si>
  <si>
    <t>draw.io: end-to-end DevOps platform architecture</t>
  </si>
  <si>
    <t>Portfolio</t>
  </si>
  <si>
    <t>Portfolio Polish</t>
  </si>
  <si>
    <t>GitHub READMEs; architecture diagrams; blog post</t>
  </si>
  <si>
    <t>2026-06-29</t>
  </si>
  <si>
    <t>Zero-Downtime Deploy</t>
  </si>
  <si>
    <t>Blue-green + Canary strategy; DB migration; feature flags</t>
  </si>
  <si>
    <t>2026-06-30</t>
  </si>
  <si>
    <t>Microservices Migration</t>
  </si>
  <si>
    <t>Strangler fig; service mesh intro; API gateway pattern</t>
  </si>
  <si>
    <t>2026-07-01</t>
  </si>
  <si>
    <t>ADR Writing</t>
  </si>
  <si>
    <t>Architecture Decision Records for 3 design choices</t>
  </si>
  <si>
    <t>2026-07-02</t>
  </si>
  <si>
    <t>Mock Design Interview</t>
  </si>
  <si>
    <t>Full system design mock: 45-min whiteboard session</t>
  </si>
  <si>
    <t>2026-07-03</t>
  </si>
  <si>
    <t>STAR Stories</t>
  </si>
  <si>
    <t>Document 10 STAR stories: impact, conflict, failure, lead</t>
  </si>
  <si>
    <t>2026-07-04</t>
  </si>
  <si>
    <t>Mock Interview 1</t>
  </si>
  <si>
    <t>Full technical mock: Linux+K8s+AWS+CI/CD round</t>
  </si>
  <si>
    <t>Job Applications</t>
  </si>
  <si>
    <t>Apply Bulk</t>
  </si>
  <si>
    <t>Apply to 15 companies; LinkedIn + Naukri + referrals</t>
  </si>
  <si>
    <t>Behavioural Mock</t>
  </si>
  <si>
    <t>Behavioural round mock; negotiation role-play</t>
  </si>
  <si>
    <t>2026-07-06</t>
  </si>
  <si>
    <t>Mock Interview 2</t>
  </si>
  <si>
    <t>Full mock 2: system design + terraform + security round</t>
  </si>
  <si>
    <t>2026-07-07</t>
  </si>
  <si>
    <t>Resume Polish</t>
  </si>
  <si>
    <t>ATS optimisation; keywords; LinkedIn top voice</t>
  </si>
  <si>
    <t>2026-07-08</t>
  </si>
  <si>
    <t>Mock Interview 3</t>
  </si>
  <si>
    <t>Mock 3: end-to-end DevOps scenario + culture fit</t>
  </si>
  <si>
    <t>2026-07-09</t>
  </si>
  <si>
    <t>Final Apply Push</t>
  </si>
  <si>
    <t>Apply to final batch; follow up on all pending apps</t>
  </si>
  <si>
    <t>🤖  AI-ERA TOOLS — Integrated across 16 weeks (by date)</t>
  </si>
  <si>
    <t>AI Tools</t>
  </si>
  <si>
    <t>GitHub Copilot setup</t>
  </si>
  <si>
    <t>Install Copilot in VS Code; generate bash scripts with AI; review + fix output</t>
  </si>
  <si>
    <t>Claude / ChatGPT for DevOps</t>
  </si>
  <si>
    <t>Prompt engineering for Bash: write backup script, cron job, systemd unit via AI</t>
  </si>
  <si>
    <t>AI-assisted Python scripting</t>
  </si>
  <si>
    <t>Use Copilot to generate boto3 EC2 scripts; validate + test each output</t>
  </si>
  <si>
    <t>Amazon Q Developer</t>
  </si>
  <si>
    <t>Install Amazon Q CLI; use for AWS CLI command suggestions; compare with Copilot</t>
  </si>
  <si>
    <t>AI SecOps</t>
  </si>
  <si>
    <t>Snyk AI scanning</t>
  </si>
  <si>
    <t>Snyk scan a Docker image; review AI-prioritised CVEs; fix top 3 vulnerabilities</t>
  </si>
  <si>
    <t>Aqua Security / Trivy AI</t>
  </si>
  <si>
    <t>Trivy image scan + AI-suggested remediation; compare Snyk vs Trivy outputs</t>
  </si>
  <si>
    <t>AI-generated Jenkinsfile</t>
  </si>
  <si>
    <t>Prompt Copilot to write Jenkinsfile; review for secrets leaks + hardcoded values</t>
  </si>
  <si>
    <t>AI GitHub Actions YAML</t>
  </si>
  <si>
    <t>Generate GHA workflow with AI; validate OIDC setup; check permissions are minimal</t>
  </si>
  <si>
    <t>Cursor IDE intro</t>
  </si>
  <si>
    <t>Install Cursor; diff with VS Code Copilot; understand agentic code editing for IaC</t>
  </si>
  <si>
    <t>AIOps</t>
  </si>
  <si>
    <t>Datadog Watchdog intro</t>
  </si>
  <si>
    <t>Understand AI anomaly detection in Datadog; simulate CPU spike; review AI alert</t>
  </si>
  <si>
    <t>PagerDuty AIOps</t>
  </si>
  <si>
    <t>Understand event correlation + noise reduction; compare with plain CloudWatch alarms</t>
  </si>
  <si>
    <t>Wiz cloud security</t>
  </si>
  <si>
    <t>Understand Wiz cloud graph; how AI finds misconfigs across AWS + K8s simultaneously</t>
  </si>
  <si>
    <t>OPA / Gatekeeper + AI</t>
  </si>
  <si>
    <t>Write OPA policy with AI assistance; deploy to K8s; test policy violation rejection</t>
  </si>
  <si>
    <t>AI Terraform module gen</t>
  </si>
  <si>
    <t>Prompt Claude to write VPC Terraform module; audit for hardcoded values + secrets</t>
  </si>
  <si>
    <t>Infracost + AI cost estimate</t>
  </si>
  <si>
    <t>Use Infracost CLI; understand AI cost prediction for Terraform plans before apply</t>
  </si>
  <si>
    <t>Enable IAM Access Analyzer; understand AI-generated findings + remediation steps</t>
  </si>
  <si>
    <t>Amazon Q for AWS CLI</t>
  </si>
  <si>
    <t>Use Amazon Q to suggest AWS CLI commands; generate IAM policy JSON via prompts</t>
  </si>
  <si>
    <t>Dynatrace Davis AI</t>
  </si>
  <si>
    <t>Understand Davis AI root cause analysis; compare with manual CloudWatch debugging</t>
  </si>
  <si>
    <t>AWS DevOps Guru</t>
  </si>
  <si>
    <t>Enable DevOps Guru on test stack; review ML-generated operational insights</t>
  </si>
  <si>
    <t>AI Lambda code gen</t>
  </si>
  <si>
    <t>Generate Lambda + SQS trigger via AI; test with real events; fix edge cases</t>
  </si>
  <si>
    <t>AWS Bedrock intro (LLMOps)</t>
  </si>
  <si>
    <t>Understand Bedrock API, model inference; deploy a simple Bedrock-backed Lambda</t>
  </si>
  <si>
    <t>AI log analysis (Datadog)</t>
  </si>
  <si>
    <t>Use Datadog AI log pattern detection; write NL queries in CloudWatch Log Insights</t>
  </si>
  <si>
    <t>OpenTelemetry + AI tracing</t>
  </si>
  <si>
    <t>Instrument a service with OTel; use Jaeger AI span analysis to find latency root cause</t>
  </si>
  <si>
    <t>Snyk IaC scanning</t>
  </si>
  <si>
    <t>Snyk scan Terraform files for misconfigs; fix AI-suggested issues before apply</t>
  </si>
  <si>
    <t>Falco + AI rules</t>
  </si>
  <si>
    <t>Write Falco rules with AI assistance; simulate container escape; verify detection</t>
  </si>
  <si>
    <t>AI-assisted ArgoCD setup</t>
  </si>
  <si>
    <t>Use Claude to generate ArgoCD Application YAML; validate sync policies + RBAC</t>
  </si>
  <si>
    <t>Claude Code CLI intro</t>
  </si>
  <si>
    <t>Install Claude Code; run on a Terraform repo; understand agentic code changes workflow</t>
  </si>
  <si>
    <t>AWS Cost Anomaly Detection</t>
  </si>
  <si>
    <t>Enable Cost Anomaly Detection; configure ML-based budget alerts; review ML findings</t>
  </si>
  <si>
    <t>Compute Optimizer AI rightsize</t>
  </si>
  <si>
    <t>Use Compute Optimizer AI recommendations; apply rightsizing to EC2 + RDS instances</t>
  </si>
  <si>
    <t>Prompt eng. for system design</t>
  </si>
  <si>
    <t>Practice prompting AI to generate architecture diagrams + ADRs; review + critique</t>
  </si>
  <si>
    <t>AI code review workflow</t>
  </si>
  <si>
    <t>Build: AI drafts IaC → checkov scan → human review → apply. Document the process.</t>
  </si>
  <si>
    <t>AI tools interview prep</t>
  </si>
  <si>
    <t>Practice: "How have you used AI in DevOps?" STAR stories; show GitHub AI examples</t>
  </si>
  <si>
    <t>AI portfolio documentation</t>
  </si>
  <si>
    <t>Use AI to polish GitHub READMEs, architecture docs, and all project write-ups</t>
  </si>
  <si>
    <t>✅  AWS DEVOPS ENGINEER SKILLS CHECKLIST  —  Target: Intermediate / Advanced Level (3+ YoE)</t>
  </si>
  <si>
    <t>Domain</t>
  </si>
  <si>
    <t>Skill / Competency</t>
  </si>
  <si>
    <t>Target Level</t>
  </si>
  <si>
    <t>Current Level (1-5)</t>
  </si>
  <si>
    <t>% Done</t>
  </si>
  <si>
    <t>GitHub / Evidence</t>
  </si>
  <si>
    <t>Notes / Next Action</t>
  </si>
  <si>
    <t>🐧 Linux</t>
  </si>
  <si>
    <t>Process management: cgroups, namespaces, systemd, journald</t>
  </si>
  <si>
    <t>Advanced</t>
  </si>
  <si>
    <t>File system: inodes, permissions, ACLs, mount, LVM</t>
  </si>
  <si>
    <t>Networking: iptables, netstat, ss, tcpdump, curl, nmap</t>
  </si>
  <si>
    <t>Performance tuning: top, htop, vmstat, iostat, strace</t>
  </si>
  <si>
    <t>Security: SELinux/AppArmor basics, auditd, SSH hardening</t>
  </si>
  <si>
    <t>Intermediate</t>
  </si>
  <si>
    <t>🔀 Git</t>
  </si>
  <si>
    <t>Advanced branching: rebase, cherry-pick, bisect, worktrees</t>
  </si>
  <si>
    <t>Git hooks, submodules, LFS, GitHub branch protection</t>
  </si>
  <si>
    <t>Git workflows: Gitflow, trunk-based, feature-flag driven</t>
  </si>
  <si>
    <t>🐍 Scripting</t>
  </si>
  <si>
    <t>Bash: functions, traps, error handling, parallel, jq, getopts</t>
  </si>
  <si>
    <t>Python: boto3, argparse, subprocess, REST APIs, unit tests</t>
  </si>
  <si>
    <t>Python: automation frameworks, error handling, logging, retry</t>
  </si>
  <si>
    <t>🌐 Networking</t>
  </si>
  <si>
    <t>DNS, HTTP/2, TLS 1.3, TCP/UDP, CIDR, BGP concepts</t>
  </si>
  <si>
    <t>Load balancing: ALB/NLB, health checks, sticky sessions</t>
  </si>
  <si>
    <t>VPN, Direct Connect, PrivateLink, Transit Gateway</t>
  </si>
  <si>
    <t>Multi-stage builds, BuildKit, layer caching, distroless</t>
  </si>
  <si>
    <t>Container security: Trivy, rootless, seccomp, AppArmor</t>
  </si>
  <si>
    <t>Docker Compose v2, networks, volumes, resource limits</t>
  </si>
  <si>
    <t>OCI spec, container runtime internals (runc, containerd)</t>
  </si>
  <si>
    <t>Jenkins: pipeline-as-code, shared libraries, Blue Ocean</t>
  </si>
  <si>
    <t>GitHub Actions: reusable workflows, OIDC, matrix, secrets</t>
  </si>
  <si>
    <t>SonarQube: quality gates, rules, pipeline blocking</t>
  </si>
  <si>
    <t>Nexus/Artifactory: artifact management, proxy repos</t>
  </si>
  <si>
    <t>CD patterns: blue-green, canary, rolling, feature flags</t>
  </si>
  <si>
    <t>Architecture: API server, etcd, scheduler, kubelet</t>
  </si>
  <si>
    <t>Workloads: Deployments, StatefulSets, DaemonSets, Jobs</t>
  </si>
  <si>
    <t>Services, Ingress, NetworkPolicy, DNS resolution</t>
  </si>
  <si>
    <t>RBAC: ClusterRole, RoleBinding, ServiceAccount, audit</t>
  </si>
  <si>
    <t>HPA/VPA, Cluster Autoscaler, Karpenter concepts</t>
  </si>
  <si>
    <t>Helm 3: charts, hooks, values, templating, registry</t>
  </si>
  <si>
    <t>Storage: PV, PVC, StorageClass, CSI drivers</t>
  </si>
  <si>
    <t>Pod Security Standards, securityContext, OPA/Gatekeeper</t>
  </si>
  <si>
    <t>Troubleshooting: CrashLoop, OOMKilled, Pending, Evicted</t>
  </si>
  <si>
    <t>Remote state: S3+DynamoDB; locking; import; mv; rm</t>
  </si>
  <si>
    <t>Modules: design, versioning, registry, reuse patterns</t>
  </si>
  <si>
    <t>Advanced HCL: for_each, count, dynamic, locals, conditions</t>
  </si>
  <si>
    <t>Atlantis PR workflow; plan/apply automation</t>
  </si>
  <si>
    <t>Terragrunt: DRY patterns, environment management</t>
  </si>
  <si>
    <t>IAM: policies, PB, SCP, assume-role, cross-account, ABAC</t>
  </si>
  <si>
    <t>VPC: subnets, TGW, VPC peering, PrivateLink, VPN</t>
  </si>
  <si>
    <t>EC2: launch templates, ASG lifecycle hooks, spot, placement</t>
  </si>
  <si>
    <t>S3: versioning, lifecycle, CRR, pre-signed URLs, events</t>
  </si>
  <si>
    <t>ALB/NLB: routing, TG health, HTTPS, WAF integration</t>
  </si>
  <si>
    <t>🚢 AWS EKS</t>
  </si>
  <si>
    <t>EKS: managed nodes, Fargate, add-ons, CNI, upgrade</t>
  </si>
  <si>
    <t>IRSA: OIDC provider, ServiceAccount annotation, pod access</t>
  </si>
  <si>
    <t>AWS LB Controller, ExternalDNS, Route53 integration</t>
  </si>
  <si>
    <t>Cluster Autoscaler, Karpenter, node group strategies</t>
  </si>
  <si>
    <t>ECR: lifecycle, image scanning, pull-through cache</t>
  </si>
  <si>
    <t>☁️ AWS Adv</t>
  </si>
  <si>
    <t>RDS: Multi-AZ, read replicas, param groups, IAM auth</t>
  </si>
  <si>
    <t>Lambda: triggers, layers, concurrency, cold start, SAM</t>
  </si>
  <si>
    <t>SQS/SNS/EventBridge: event-driven patterns, DLQ</t>
  </si>
  <si>
    <t>CloudFront, Route 53, health checks, failover routing</t>
  </si>
  <si>
    <t>Secrets Manager, Parameter Store, KMS CMK rotation</t>
  </si>
  <si>
    <t>📊 Observability</t>
  </si>
  <si>
    <t>CloudWatch: custom metrics, alarms, Log Insights, dashboards</t>
  </si>
  <si>
    <t>Prometheus + Grafana: PromQL, kube-prometheus-stack, alerts</t>
  </si>
  <si>
    <t>Distributed tracing: X-Ray, OpenTelemetry concepts</t>
  </si>
  <si>
    <t>SLI/SLO/Error budget: definition, tooling, runbooks</t>
  </si>
  <si>
    <t>Incident management: runbooks, post-mortems, blameless</t>
  </si>
  <si>
    <t>GuardDuty + Security Hub + Inspector + AWS Config</t>
  </si>
  <si>
    <t>WAF: OWASP rules, rate limiting, managed rule groups</t>
  </si>
  <si>
    <t>KMS: CMK, key rotation, envelope encryption, grants</t>
  </si>
  <si>
    <t>Container security: Falco, image scanning, PSS, distroless</t>
  </si>
  <si>
    <t>IAM Access Analyzer, VPC Flow Logs, CloudTrail analysis</t>
  </si>
  <si>
    <t>SAST/DAST in pipelines; dep scanning; CIS benchmarks</t>
  </si>
  <si>
    <t>🔀 GitOps</t>
  </si>
  <si>
    <t>ArgoCD: app-of-apps, sync policy, RBAC, notifications</t>
  </si>
  <si>
    <t>Argo Rollouts: canary, blue-green, analysis, auto-promote</t>
  </si>
  <si>
    <t>External Secrets Operator + AWS Secrets Manager</t>
  </si>
  <si>
    <t>Flux v2: HelmRelease, Kustomization, image automation</t>
  </si>
  <si>
    <t>💰 Cost Opt</t>
  </si>
  <si>
    <t>Cost Explorer, Budgets, Savings Plans, rightsizing</t>
  </si>
  <si>
    <t>Spot strategy, mixed instance fleet, interruption handling</t>
  </si>
  <si>
    <t>🏢 Multi-Acct</t>
  </si>
  <si>
    <t>AWS Organizations, Control Tower, Landing Zone, SCPs</t>
  </si>
  <si>
    <t>AWS Config rules, tagging strategy, chargeback/showback</t>
  </si>
  <si>
    <t>🏛️ Design</t>
  </si>
  <si>
    <t>CI/CD platform design for 100+ microservices</t>
  </si>
  <si>
    <t>Multi-region active-active; DR design (RTO/RPO)</t>
  </si>
  <si>
    <t>Zero-downtime deploy strategies at scale</t>
  </si>
  <si>
    <t>AWS Well-Architected Framework all 6 pillars</t>
  </si>
  <si>
    <t>🎓 Certs</t>
  </si>
  <si>
    <t>AWS Solutions Architect Associate (SAA-C03)</t>
  </si>
  <si>
    <t>Target</t>
  </si>
  <si>
    <t>Study alongside</t>
  </si>
  <si>
    <t>AWS DevOps Engineer Professional (DOP-C02)</t>
  </si>
  <si>
    <t>CKA (Certified Kubernetes Administrator)</t>
  </si>
  <si>
    <t>After Week 6</t>
  </si>
  <si>
    <t>🛠️  PORTFOLIO PROJECTS  —  Build Real Production-Grade Systems (Push All to GitHub)</t>
  </si>
  <si>
    <t>#</t>
  </si>
  <si>
    <t>Project Name</t>
  </si>
  <si>
    <t>Real-World Goal</t>
  </si>
  <si>
    <t>Tech Stack</t>
  </si>
  <si>
    <t>Key Deliverables</t>
  </si>
  <si>
    <t>Target Week</t>
  </si>
  <si>
    <t>Start Date</t>
  </si>
  <si>
    <t>End Date</t>
  </si>
  <si>
    <t>GitHub Link</t>
  </si>
  <si>
    <t>Architecture Diagram</t>
  </si>
  <si>
    <t>Automated Infra Provisioner</t>
  </si>
  <si>
    <t>Provision full AWS stack (VPC+EC2+RDS+ALB+ASG) with Terraform modules + remote state; mimic a real cloud team's IaC repo</t>
  </si>
  <si>
    <t>Terraform, AWS (VPC/EC2/RDS/ALB/ASG/S3/DynamoDB), Atlantis</t>
  </si>
  <si>
    <t>Reusable Terraform modules; remote state; Atlantis PR workflow; multi-env (dev/stg/prd); README + architecture diagram</t>
  </si>
  <si>
    <t>First major portfolio project</t>
  </si>
  <si>
    <t>Full CI/CD Platform with GitOps</t>
  </si>
  <si>
    <t>End-to-end pipeline: code push → lint/test → SonarQube → Docker multi-stage → ECR → ArgoCD deploy to EKS (canary via Argo Rollouts)</t>
  </si>
  <si>
    <t>GitHub Actions (OIDC), SonarQube, Docker, ECR, ArgoCD, Argo Rollouts, Helm, EKS</t>
  </si>
  <si>
    <t>OIDC no-long-key pipeline; quality gate blocking; Helm chart; canary with analysis; auto rollback; GitOps promotion dev→stg→prd</t>
  </si>
  <si>
    <t>Crown jewel project for resume</t>
  </si>
  <si>
    <t>Production EKS Platform</t>
  </si>
  <si>
    <t>Production-like EKS cluster: IRSA, Cluster Autoscaler, AWS LB Controller, ExternalDNS, Prometheus+Grafana, Falco, Sealed Secrets</t>
  </si>
  <si>
    <t>Terraform, EKS, IRSA, kube-prometheus-stack, Falco, ExternalDNS, AWS LB Controller, Sealed Secrets</t>
  </si>
  <si>
    <t>Terraform-provisioned EKS; IRSA for all pods; HPA + CA; Grafana dashboards; Falco alerts; TLS via cert-manager; SLO defined</t>
  </si>
  <si>
    <t>Week 9-11</t>
  </si>
  <si>
    <t>Demonstrates real EKS ops experience</t>
  </si>
  <si>
    <t>Event-Driven Microservices on AWS</t>
  </si>
  <si>
    <t>Build a serverless + container hybrid event-driven system: API GW → Lambda → SQS → ECS/Lambda → DynamoDB; CloudWatch + X-Ray</t>
  </si>
  <si>
    <t>API Gateway, Lambda, SQS, SNS, DynamoDB, ECS/Fargate, CloudWatch, X-Ray, Terraform</t>
  </si>
  <si>
    <t>REST API; async processing via SQS; DLQ; X-Ray tracing end-to-end; CloudWatch dashboard + alarms; Terraform provisioned</t>
  </si>
  <si>
    <t>Shows serverless + event-driven skills</t>
  </si>
  <si>
    <t>Security Hardening Baseline</t>
  </si>
  <si>
    <t>Apply AWS + K8s security baseline: GuardDuty + Security Hub + WAF + KMS + Falco + SAST in pipeline + IAM Access Analyzer</t>
  </si>
  <si>
    <t>AWS GuardDuty, Security Hub, WAF, KMS, Falco, SonarQube, IAM Access Analyzer, Config</t>
  </si>
  <si>
    <t>Enable all security services; WAF OWASP rules; KMS-encrypt RDS+S3; Falco ruleset; SAST in CI; remediate Access Analyzer findings</t>
  </si>
  <si>
    <t>Security-focused project; good for fintech/banking JDs</t>
  </si>
  <si>
    <t>Multi-Account AWS Landing Zone</t>
  </si>
  <si>
    <t>Set up AWS Organizations with 3 accounts (management/log-archive/workload); SCPs; Config rules; centralised logging; Budget alerts</t>
  </si>
  <si>
    <t>AWS Organizations, Control Tower (manual), SCPs, Config, CloudTrail, S3, Budget, Terraform</t>
  </si>
  <si>
    <t>Org structure; SCP restrict non-approved regions; mandatory tagging Config rule; cross-account CloudTrail to S3; Budget alarms</t>
  </si>
  <si>
    <t>Shows enterprise-level AWS understanding</t>
  </si>
  <si>
    <t>Observability Stack from Scratch</t>
  </si>
  <si>
    <t>Deploy Prometheus + Grafana + Loki + Tempo on EKS; custom metrics from app; SLO-based alerting; incident runbook</t>
  </si>
  <si>
    <t>Prometheus, Grafana, Loki, Tempo, OpenTelemetry, kube-prometheus-stack, PagerDuty webhook</t>
  </si>
  <si>
    <t>kube-prometheus-stack helm; custom app metrics; Grafana dashboard; alert rules; Loki for logs; Tempo for traces; SLO runbook</t>
  </si>
  <si>
    <t>Demonstrates SRE mindset</t>
  </si>
  <si>
    <t>❓  AWS DEVOPS ENGINEER INTERVIEW Q BANK (3+ YoE)  —  Mark each question as Practiced / Confident</t>
  </si>
  <si>
    <t>Question (Senior Level)</t>
  </si>
  <si>
    <t>Key Answer Points</t>
  </si>
  <si>
    <t>Difficulty</t>
  </si>
  <si>
    <t>Practiced?</t>
  </si>
  <si>
    <t>Confidence (1-5)</t>
  </si>
  <si>
    <t>STAR Story Needed?</t>
  </si>
  <si>
    <t>Explain cgroups and namespaces. How does Docker use them?</t>
  </si>
  <si>
    <t>cgroups: resource limits; namespaces: pid/net/mnt isolation; Docker wraps both</t>
  </si>
  <si>
    <t>Hard</t>
  </si>
  <si>
    <t>No</t>
  </si>
  <si>
    <t>How would you troubleshoot a process using 100% CPU?</t>
  </si>
  <si>
    <t>top/htop; strace/perf; profiling; check systemd journal</t>
  </si>
  <si>
    <t>Medium</t>
  </si>
  <si>
    <t>Explain how iptables chains and rules work.</t>
  </si>
  <si>
    <t>INPUT/OUTPUT/FORWARD chains; ACCEPT/DROP/REJECT; NAT table</t>
  </si>
  <si>
    <t>What is a zombie process? How do you clean it up?</t>
  </si>
  <si>
    <t>Exited but parent not reaped; kill parent or wait(); systemd handles it</t>
  </si>
  <si>
    <t>Explain git rebase vs merge. When would you use each?</t>
  </si>
  <si>
    <t>rebase: linear history, no merge commit; merge: preserves history; rebase for feature branches</t>
  </si>
  <si>
    <t>How would you recover a deleted branch in Git?</t>
  </si>
  <si>
    <t>git reflog; git checkout -b &lt;branch&gt; &lt;SHA&gt;; within 30-90 days</t>
  </si>
  <si>
    <t>Design a CI/CD pipeline for a microservices team with 50 developers.</t>
  </si>
  <si>
    <t>Mono-repo vs poly; shared Jenkins library; OIDC; quality gates; parallel stages; env promotion</t>
  </si>
  <si>
    <t>Yes</t>
  </si>
  <si>
    <t>How do you manage secrets in CI/CD pipelines?</t>
  </si>
  <si>
    <t>OIDC (no static keys); Secrets Manager; Vault; never in git; mask in logs</t>
  </si>
  <si>
    <t>Explain OIDC authentication for GitHub Actions to AWS.</t>
  </si>
  <si>
    <t>GitHub OIDC provider; assume-role policy; STS; no long-lived keys</t>
  </si>
  <si>
    <t>How do you minimise Docker image size?</t>
  </si>
  <si>
    <t>Multi-stage builds; distroless/alpine base; .dockerignore; rm apt cache; one RUN chain</t>
  </si>
  <si>
    <t>What security risks exist in containers and how do you mitigate?</t>
  </si>
  <si>
    <t>root by default; cap escalation; image vulns; use non-root, seccomp, Trivy, PSS</t>
  </si>
  <si>
    <t>Explain the Kubernetes control plane components.</t>
  </si>
  <si>
    <t>API server; etcd (source of truth); scheduler; controller-manager; cloud-controller</t>
  </si>
  <si>
    <t>Pod is stuck in Pending. How do you debug it?</t>
  </si>
  <si>
    <t>kubectl describe pod; check events; node resources; taint/toleration; PVC unbound</t>
  </si>
  <si>
    <t>Explain RBAC in Kubernetes. How do you implement least privilege?</t>
  </si>
  <si>
    <t>Role/ClusterRole → RoleBinding/CRB → SA; audit logs; namespace isolation</t>
  </si>
  <si>
    <t>How does HPA work? What are its limitations?</t>
  </si>
  <si>
    <t>metrics-server; CPU/memory; custom via KEDA; limitations: doesn't scale to 0 natively</t>
  </si>
  <si>
    <t>Explain how NetworkPolicy works. Default deny pattern.</t>
  </si>
  <si>
    <t>CNI plugin enforces; ingress/egress rules; default deny then allow; Calico/Cilium</t>
  </si>
  <si>
    <t>How do you do a zero-downtime deployment in Kubernetes?</t>
  </si>
  <si>
    <t>RollingUpdate strategy; maxSurge/maxUnavailable; readiness probe; PDB; preStop hook</t>
  </si>
  <si>
    <t>How do you handle Terraform state in a team?</t>
  </si>
  <si>
    <t>Remote state S3; DynamoDB lock; state isolation per env; never commit state to git</t>
  </si>
  <si>
    <t>Explain Terraform import vs taint vs moved.</t>
  </si>
  <si>
    <t>import: bring existing resource; taint: force recreate; moved: rename in state</t>
  </si>
  <si>
    <t>How do you manage secrets in Terraform?</t>
  </si>
  <si>
    <t>Secrets Manager data source; never in tfvars committed to git; env vars; Vault provider</t>
  </si>
  <si>
    <t>AWS IAM</t>
  </si>
  <si>
    <t>Explain permission boundaries vs SCPs. When would you use each?</t>
  </si>
  <si>
    <t>PB: max permissions for entity; SCP: max for account/OU; PB = dev guardrail; SCP = org policy</t>
  </si>
  <si>
    <t>How does cross-account access work in AWS?</t>
  </si>
  <si>
    <t>assume-role; trust policy; sts:AssumeRole; pass role to CI/CD; cross-account S3</t>
  </si>
  <si>
    <t>AWS VPC</t>
  </si>
  <si>
    <t>VPC peering vs Transit Gateway vs PrivateLink. When to use each?</t>
  </si>
  <si>
    <t>Peering: 1-to-1 no transitive; TGW: hub-and-spoke transitive; PL: expose service privately</t>
  </si>
  <si>
    <t>Explain IRSA. How is it more secure than node IAM roles?</t>
  </si>
  <si>
    <t>OIDC JWKS; SA annotation; STS AssumeRoleWithWebIdentity; pod-level isolation vs node-wide</t>
  </si>
  <si>
    <t>How do you upgrade an EKS cluster with zero downtime?</t>
  </si>
  <si>
    <t>Upgrade control plane first; then node groups (rolling); managed node groups; PDB; drain</t>
  </si>
  <si>
    <t>Cluster Autoscaler vs Karpenter. Which and why?</t>
  </si>
  <si>
    <t>CA: node group based, slow; Karpenter: direct EC2, faster, flexible, cost aware</t>
  </si>
  <si>
    <t>Design an observability stack for a microservices system.</t>
  </si>
  <si>
    <t>Metrics: Prometheus+Grafana; Logs: Loki/ELK; Traces: Tempo/Jaeger/X-Ray; SLOs; alerting</t>
  </si>
  <si>
    <t>Explain SLI, SLO, SLA, Error Budget.</t>
  </si>
  <si>
    <t>SLI: measurement; SLO: target; SLA: contract; Error budget: 1-SLO = allowed downtime</t>
  </si>
  <si>
    <t>How would you implement a zero-trust security model on AWS?</t>
  </si>
  <si>
    <t>Every request authenticated; mTLS; least privilege IAM; PrivateLink; GuardDuty; VPC FL</t>
  </si>
  <si>
    <t>How do you handle a security incident where GuardDuty fires?</t>
  </si>
  <si>
    <t>Runbook; isolate EC2/SG; snapshot; notify; forensics; remediate; post-mortem</t>
  </si>
  <si>
    <t>Explain GitOps principles. ArgoCD vs Flux.</t>
  </si>
  <si>
    <t>Desired state in Git; reconcile loop; ArgoCD: push model + UI; Flux: pull, GitOps toolkit</t>
  </si>
  <si>
    <t>How do you manage secrets in a GitOps workflow?</t>
  </si>
  <si>
    <t>Sealed Secrets; External Secrets Operator (ESO); SOPS; never plaintext in Git</t>
  </si>
  <si>
    <t>Design a CI/CD system that handles 100 microservices across 3 regions.</t>
  </si>
  <si>
    <t>Shared Jenkins/GHA; Helm charts in OCI registry; ArgoCD app-of-apps per region; canary per svc</t>
  </si>
  <si>
    <t>How would you achieve RTO of 1 hr and RPO of 15 min?</t>
  </si>
  <si>
    <t>Active-passive; RDS Multi-AZ + CRR; Route53 failover; Pilot Light; regular DR drills</t>
  </si>
  <si>
    <t>Behavioural</t>
  </si>
  <si>
    <t>Tell me about a time you reduced infrastructure costs significantly.</t>
  </si>
  <si>
    <t>STAR: context + action (spot, rightsize, Savings Plan) + result (X% saving)</t>
  </si>
  <si>
    <t>Describe a production incident you handled. What was the outcome?</t>
  </si>
  <si>
    <t>STAR: incident + your role + actions + resolution + post-mortem improvement</t>
  </si>
  <si>
    <t>How do you convince a team to adopt a new tool or process?</t>
  </si>
  <si>
    <t>STAR: data-driven; POC; small win; metrics; gradual rollout; document</t>
  </si>
  <si>
    <t>📤  JOB APPLICATIONS TRACKER  —  Target: AWS DevOps / Linux Admin+DevOps Engineer  |  ₹18-35 LPA+</t>
  </si>
  <si>
    <t>Date Applied</t>
  </si>
  <si>
    <t>Company</t>
  </si>
  <si>
    <t>Role / JD Title</t>
  </si>
  <si>
    <t>Location/Remote</t>
  </si>
  <si>
    <t>Salary Range</t>
  </si>
  <si>
    <t>Job Link</t>
  </si>
  <si>
    <t>Stage</t>
  </si>
  <si>
    <t>Follow-up Date</t>
  </si>
  <si>
    <t>Contact / Recruiter</t>
  </si>
  <si>
    <t>Applied</t>
  </si>
  <si>
    <t>💰  SALARY NEGOTIATION &amp; TARGET PACKAGE GUIDE</t>
  </si>
  <si>
    <t>MARKET RATES (India, 2026 Estimate)</t>
  </si>
  <si>
    <t>Role</t>
  </si>
  <si>
    <t>Experience</t>
  </si>
  <si>
    <t>Expected CTC Range</t>
  </si>
  <si>
    <t>AWS DevOps Engineer</t>
  </si>
  <si>
    <t>3-5 Years (YOUR ZONE)</t>
  </si>
  <si>
    <t>₹18-35 LPA</t>
  </si>
  <si>
    <t>Mid-level; focus on K8s + CI/CD + Terraform</t>
  </si>
  <si>
    <t>Senior AWS DevOps Engineer</t>
  </si>
  <si>
    <t>5-8 Years</t>
  </si>
  <si>
    <t>₹35-60 LPA</t>
  </si>
  <si>
    <t>Target range; needs EKS + IaC + GitOps + Security</t>
  </si>
  <si>
    <t>Lead / Principal DevOps</t>
  </si>
  <si>
    <t>8-12 Years</t>
  </si>
  <si>
    <t>₹60-100 LPA</t>
  </si>
  <si>
    <t>Architecture + team lead; not your target yet</t>
  </si>
  <si>
    <t>DevOps Architect</t>
  </si>
  <si>
    <t>12+ Years</t>
  </si>
  <si>
    <t>₹100 LPA+</t>
  </si>
  <si>
    <t>Future target</t>
  </si>
  <si>
    <t>NEGOTIATION PLAYBOOK</t>
  </si>
  <si>
    <t>Step</t>
  </si>
  <si>
    <t>Action</t>
  </si>
  <si>
    <t>Script / Tip</t>
  </si>
  <si>
    <t>1</t>
  </si>
  <si>
    <t>Never give first number</t>
  </si>
  <si>
    <t>'I'd love to understand the full comp structure first. What's the budgeted range?'</t>
  </si>
  <si>
    <t>2</t>
  </si>
  <si>
    <t>If pressed, give a range</t>
  </si>
  <si>
    <t>Give range where your min = their max. E.g. target ₹28L → say '25-32 LPA'</t>
  </si>
  <si>
    <t>3</t>
  </si>
  <si>
    <t>Counter any offer</t>
  </si>
  <si>
    <t>Always counter at least once. Most companies expect it. Counter 10-15% above offer.</t>
  </si>
  <si>
    <t>4</t>
  </si>
  <si>
    <t>Use competing offers</t>
  </si>
  <si>
    <t>'I have another offer at X. If you can match/beat that, I'd prefer to join here.'</t>
  </si>
  <si>
    <t>5</t>
  </si>
  <si>
    <t>Negotiate beyond base</t>
  </si>
  <si>
    <t>Variable, joining bonus, ESOP/RSU, extra leave, WFH, cert reimbursement</t>
  </si>
  <si>
    <t>6</t>
  </si>
  <si>
    <t>Know your BATNA</t>
  </si>
  <si>
    <t>Best Alternative To Negotiated Agreement. Don't negotiate from desperation.</t>
  </si>
  <si>
    <t>7</t>
  </si>
  <si>
    <t>Get it in writing</t>
  </si>
  <si>
    <t>Never resign until offer letter is signed. Verbal offers don't count.</t>
  </si>
  <si>
    <t>WHAT TO HIGHLIGHT TO GET HIGH PACKAGE</t>
  </si>
  <si>
    <t>Factor</t>
  </si>
  <si>
    <t>How to demonstrate</t>
  </si>
  <si>
    <t>Linux Admin + Shell scripting experience</t>
  </si>
  <si>
    <t>Show bash/Python automation scripts + Linux troubleshooting on GitHub</t>
  </si>
  <si>
    <t>Terraform basics + AWS hands-on</t>
  </si>
  <si>
    <t>Terraform modules for EC2/VPC/RDS; deployed and documented on GitHub</t>
  </si>
  <si>
    <t>GitOps + ArgoCD</t>
  </si>
  <si>
    <t>Show the ArgoCD app-of-apps + Argo Rollouts canary project</t>
  </si>
  <si>
    <t>Security mindset</t>
  </si>
  <si>
    <t>GuardDuty + WAF + Falco project; security in CI pipeline</t>
  </si>
  <si>
    <t>Observability / SRE</t>
  </si>
  <si>
    <t>Prometheus + Grafana + SLO runbook; show the dashboard</t>
  </si>
  <si>
    <t>Certifications</t>
  </si>
  <si>
    <t>AWS SAA or DevOps Pro + CKA = instant ₹5-10 LPA bump</t>
  </si>
  <si>
    <t>System design ability</t>
  </si>
  <si>
    <t>Walk through architecture diagrams; use AWS Well-Architected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</si>
</sst>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2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1"/>
      <color rgb="FFF5A623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1A1A2E"/>
      <name val="Arial"/>
    </font>
    <font>
      <b/>
      <sz val="14"/>
      <color rgb="FFFFFFFF"/>
      <name val="Arial"/>
    </font>
    <font>
      <sz val="9"/>
      <name val="Arial"/>
    </font>
    <font>
      <b/>
      <sz val="10"/>
      <name val="Arial"/>
    </font>
    <font>
      <b/>
      <sz val="10"/>
      <color rgb="FFF5A623"/>
      <name val="Arial"/>
    </font>
    <font>
      <b/>
      <sz val="10"/>
      <color rgb="FF1A1A2E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2"/>
      <name val="Calibri"/>
    </font>
    <font>
      <sz val="11"/>
      <name val="Calibri"/>
    </font>
    <font>
      <b/>
      <sz val="11"/>
      <color rgb="FF1F4E79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F3460"/>
      </patternFill>
    </fill>
    <fill>
      <patternFill patternType="solid">
        <fgColor rgb="FFF4F6F9"/>
      </patternFill>
    </fill>
    <fill>
      <patternFill patternType="solid">
        <fgColor rgb="FFFFFFFF"/>
      </patternFill>
    </fill>
    <fill>
      <patternFill patternType="solid">
        <fgColor rgb="FFF5A623"/>
      </patternFill>
    </fill>
    <fill>
      <patternFill patternType="solid">
        <fgColor rgb="FFEDE7F6"/>
      </patternFill>
    </fill>
    <fill>
      <patternFill patternType="solid">
        <fgColor rgb="FFE0F7FA"/>
      </patternFill>
    </fill>
    <fill>
      <patternFill patternType="solid">
        <fgColor rgb="FFFFF8E1"/>
      </patternFill>
    </fill>
    <fill>
      <patternFill patternType="solid">
        <fgColor rgb="FFE8EAF6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FE6CC"/>
      </patternFill>
    </fill>
    <fill>
      <patternFill patternType="solid">
        <fgColor rgb="FFFFF2CC"/>
      </patternFill>
    </fill>
    <fill>
      <patternFill patternType="solid">
        <fgColor rgb="FFF8CECC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993556"/>
      </patternFill>
    </fill>
    <fill>
      <patternFill patternType="solid">
        <fgColor rgb="FFFBEAF0"/>
      </patternFill>
    </fill>
    <fill>
      <patternFill patternType="solid">
        <fgColor rgb="FFEEEDFE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left" vertical="center" wrapText="1"/>
    </xf>
    <xf numFmtId="0" fontId="8" fillId="19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0" fillId="0" borderId="0" xfId="0"/>
    <xf numFmtId="0" fontId="5" fillId="6" borderId="1" xfId="0" applyFont="1" applyFill="1" applyBorder="1" applyAlignment="1">
      <alignment horizontal="left" vertical="center"/>
    </xf>
    <xf numFmtId="0" fontId="15" fillId="21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0" fillId="22" borderId="0" xfId="0" applyFill="1" applyAlignment="1">
      <alignment vertical="top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20" fillId="24" borderId="0" xfId="0" applyFont="1" applyFill="1"/>
    <xf numFmtId="0" fontId="20" fillId="26" borderId="0" xfId="0" applyFont="1" applyFill="1"/>
    <xf numFmtId="164" fontId="0" fillId="24" borderId="0" xfId="0" applyNumberFormat="1" applyFill="1" applyAlignment="1">
      <alignment vertical="top" wrapText="1"/>
    </xf>
    <xf numFmtId="0" fontId="0" fillId="24" borderId="0" xfId="0" applyFill="1" applyAlignment="1">
      <alignment vertical="top" wrapText="1"/>
    </xf>
    <xf numFmtId="164" fontId="0" fillId="25" borderId="0" xfId="0" applyNumberFormat="1" applyFill="1" applyAlignment="1">
      <alignment vertical="top" wrapText="1"/>
    </xf>
    <xf numFmtId="0" fontId="0" fillId="25" borderId="0" xfId="0" applyFill="1" applyAlignment="1">
      <alignment vertical="top" wrapText="1"/>
    </xf>
    <xf numFmtId="0" fontId="14" fillId="20" borderId="0" xfId="0" applyFont="1" applyFill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4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1" fillId="24" borderId="0" xfId="0" applyFont="1" applyFill="1"/>
    <xf numFmtId="0" fontId="21" fillId="26" borderId="0" xfId="0" applyFont="1" applyFill="1"/>
    <xf numFmtId="0" fontId="10" fillId="3" borderId="0" xfId="0" applyFont="1" applyFill="1" applyAlignment="1">
      <alignment horizontal="center" vertical="center"/>
    </xf>
    <xf numFmtId="0" fontId="19" fillId="23" borderId="0" xfId="0" applyFont="1" applyFill="1" applyAlignment="1">
      <alignment horizontal="left"/>
    </xf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opLeftCell="A4" workbookViewId="0">
      <selection sqref="A1:G1"/>
    </sheetView>
  </sheetViews>
  <sheetFormatPr defaultRowHeight="15" x14ac:dyDescent="0.25"/>
  <cols>
    <col min="1" max="1" width="22" style="37" customWidth="1"/>
    <col min="2" max="2" width="45" style="37" customWidth="1"/>
    <col min="3" max="3" width="40" style="37" customWidth="1"/>
    <col min="4" max="4" width="12" style="37" customWidth="1"/>
    <col min="5" max="5" width="15" style="37" customWidth="1"/>
    <col min="6" max="6" width="35" style="37" customWidth="1"/>
  </cols>
  <sheetData>
    <row r="1" spans="1:6" ht="30" customHeight="1" x14ac:dyDescent="0.25">
      <c r="A1" s="51" t="s">
        <v>0</v>
      </c>
      <c r="B1" s="52"/>
      <c r="C1" s="52"/>
      <c r="D1" s="52"/>
      <c r="E1" s="52"/>
      <c r="F1" s="52"/>
    </row>
    <row r="2" spans="1:6" x14ac:dyDescent="0.25">
      <c r="A2" s="39" t="s">
        <v>1</v>
      </c>
      <c r="B2" s="39" t="s">
        <v>2</v>
      </c>
      <c r="C2" s="39" t="s">
        <v>3</v>
      </c>
      <c r="D2" s="39" t="s">
        <v>4</v>
      </c>
      <c r="E2" s="39" t="s">
        <v>5</v>
      </c>
      <c r="F2" s="39" t="s">
        <v>6</v>
      </c>
    </row>
    <row r="3" spans="1:6" ht="45" customHeight="1" x14ac:dyDescent="0.25">
      <c r="A3" s="40" t="s">
        <v>7</v>
      </c>
      <c r="B3" s="40" t="s">
        <v>8</v>
      </c>
      <c r="C3" s="40" t="s">
        <v>9</v>
      </c>
      <c r="D3" s="40" t="s">
        <v>10</v>
      </c>
      <c r="E3" s="40" t="s">
        <v>11</v>
      </c>
      <c r="F3" s="40" t="s">
        <v>12</v>
      </c>
    </row>
    <row r="4" spans="1:6" ht="45" customHeight="1" x14ac:dyDescent="0.25">
      <c r="A4" s="41" t="s">
        <v>13</v>
      </c>
      <c r="B4" s="41" t="s">
        <v>14</v>
      </c>
      <c r="C4" s="41" t="s">
        <v>15</v>
      </c>
      <c r="D4" s="41" t="s">
        <v>10</v>
      </c>
      <c r="E4" s="41" t="s">
        <v>11</v>
      </c>
      <c r="F4" s="41" t="s">
        <v>16</v>
      </c>
    </row>
    <row r="5" spans="1:6" ht="45" customHeight="1" x14ac:dyDescent="0.25">
      <c r="A5" s="40" t="s">
        <v>17</v>
      </c>
      <c r="B5" s="40" t="s">
        <v>18</v>
      </c>
      <c r="C5" s="40" t="s">
        <v>19</v>
      </c>
      <c r="D5" s="40" t="s">
        <v>10</v>
      </c>
      <c r="E5" s="40" t="s">
        <v>20</v>
      </c>
      <c r="F5" s="40" t="s">
        <v>21</v>
      </c>
    </row>
    <row r="6" spans="1:6" ht="45" customHeight="1" x14ac:dyDescent="0.25">
      <c r="A6" s="41" t="s">
        <v>22</v>
      </c>
      <c r="B6" s="41" t="s">
        <v>23</v>
      </c>
      <c r="C6" s="41" t="s">
        <v>24</v>
      </c>
      <c r="D6" s="41" t="s">
        <v>10</v>
      </c>
      <c r="E6" s="41" t="s">
        <v>25</v>
      </c>
      <c r="F6" s="41" t="s">
        <v>26</v>
      </c>
    </row>
    <row r="7" spans="1:6" ht="45" customHeight="1" x14ac:dyDescent="0.25">
      <c r="A7" s="40" t="s">
        <v>27</v>
      </c>
      <c r="B7" s="40" t="s">
        <v>28</v>
      </c>
      <c r="C7" s="40" t="s">
        <v>29</v>
      </c>
      <c r="D7" s="40" t="s">
        <v>10</v>
      </c>
      <c r="E7" s="40" t="s">
        <v>30</v>
      </c>
      <c r="F7" s="40" t="s">
        <v>31</v>
      </c>
    </row>
    <row r="8" spans="1:6" ht="45" customHeight="1" x14ac:dyDescent="0.25">
      <c r="A8" s="41" t="s">
        <v>32</v>
      </c>
      <c r="B8" s="41" t="s">
        <v>33</v>
      </c>
      <c r="C8" s="41" t="s">
        <v>34</v>
      </c>
      <c r="D8" s="41" t="s">
        <v>35</v>
      </c>
      <c r="E8" s="41" t="s">
        <v>36</v>
      </c>
      <c r="F8" s="41" t="s">
        <v>37</v>
      </c>
    </row>
    <row r="9" spans="1:6" ht="45" customHeight="1" x14ac:dyDescent="0.25">
      <c r="A9" s="40" t="s">
        <v>38</v>
      </c>
      <c r="B9" s="40" t="s">
        <v>39</v>
      </c>
      <c r="C9" s="40" t="s">
        <v>40</v>
      </c>
      <c r="D9" s="40" t="s">
        <v>41</v>
      </c>
      <c r="E9" s="40" t="s">
        <v>42</v>
      </c>
      <c r="F9" s="40" t="s">
        <v>43</v>
      </c>
    </row>
    <row r="10" spans="1:6" ht="45" customHeight="1" x14ac:dyDescent="0.25">
      <c r="A10" s="41" t="s">
        <v>44</v>
      </c>
      <c r="B10" s="41" t="s">
        <v>45</v>
      </c>
      <c r="C10" s="41" t="s">
        <v>46</v>
      </c>
      <c r="D10" s="41" t="s">
        <v>41</v>
      </c>
      <c r="E10" s="41" t="s">
        <v>47</v>
      </c>
      <c r="F10" s="41" t="s">
        <v>48</v>
      </c>
    </row>
    <row r="11" spans="1:6" ht="45" customHeight="1" x14ac:dyDescent="0.25">
      <c r="A11" s="40" t="s">
        <v>49</v>
      </c>
      <c r="B11" s="40" t="s">
        <v>50</v>
      </c>
      <c r="C11" s="40" t="s">
        <v>51</v>
      </c>
      <c r="D11" s="40" t="s">
        <v>41</v>
      </c>
      <c r="E11" s="40" t="s">
        <v>52</v>
      </c>
      <c r="F11" s="40" t="s">
        <v>53</v>
      </c>
    </row>
    <row r="12" spans="1:6" ht="45" customHeight="1" x14ac:dyDescent="0.25">
      <c r="A12" s="41" t="s">
        <v>54</v>
      </c>
      <c r="B12" s="41" t="s">
        <v>55</v>
      </c>
      <c r="C12" s="41" t="s">
        <v>56</v>
      </c>
      <c r="D12" s="41" t="s">
        <v>41</v>
      </c>
      <c r="E12" s="41" t="s">
        <v>57</v>
      </c>
      <c r="F12" s="41" t="s">
        <v>58</v>
      </c>
    </row>
    <row r="14" spans="1:6" ht="15.75" x14ac:dyDescent="0.25">
      <c r="A14" s="42" t="s">
        <v>59</v>
      </c>
    </row>
    <row r="15" spans="1:6" x14ac:dyDescent="0.25">
      <c r="A15" s="43" t="s">
        <v>60</v>
      </c>
    </row>
    <row r="16" spans="1:6" x14ac:dyDescent="0.25">
      <c r="A16" s="43" t="s">
        <v>61</v>
      </c>
    </row>
    <row r="17" spans="1:1" x14ac:dyDescent="0.25">
      <c r="A17" s="43" t="s">
        <v>62</v>
      </c>
    </row>
    <row r="18" spans="1:1" x14ac:dyDescent="0.25">
      <c r="A18" s="43" t="s">
        <v>63</v>
      </c>
    </row>
    <row r="19" spans="1:1" x14ac:dyDescent="0.25">
      <c r="A19" s="43" t="s">
        <v>64</v>
      </c>
    </row>
    <row r="20" spans="1:1" x14ac:dyDescent="0.25">
      <c r="A20" s="43" t="s">
        <v>65</v>
      </c>
    </row>
    <row r="21" spans="1:1" x14ac:dyDescent="0.25">
      <c r="A21" s="43" t="s">
        <v>66</v>
      </c>
    </row>
    <row r="22" spans="1:1" x14ac:dyDescent="0.25">
      <c r="A22" s="43" t="s">
        <v>67</v>
      </c>
    </row>
    <row r="24" spans="1:1" ht="15.75" x14ac:dyDescent="0.25">
      <c r="A24" s="42" t="s">
        <v>68</v>
      </c>
    </row>
    <row r="25" spans="1:1" x14ac:dyDescent="0.25">
      <c r="A25" s="44" t="s">
        <v>69</v>
      </c>
    </row>
    <row r="27" spans="1:1" ht="15.75" x14ac:dyDescent="0.25">
      <c r="A27" s="42" t="s">
        <v>70</v>
      </c>
    </row>
    <row r="28" spans="1:1" x14ac:dyDescent="0.25">
      <c r="A28" s="43" t="s">
        <v>71</v>
      </c>
    </row>
    <row r="29" spans="1:1" x14ac:dyDescent="0.25">
      <c r="A29" s="43" t="s">
        <v>72</v>
      </c>
    </row>
    <row r="30" spans="1:1" x14ac:dyDescent="0.25">
      <c r="A30" s="43" t="s">
        <v>73</v>
      </c>
    </row>
    <row r="31" spans="1:1" x14ac:dyDescent="0.25">
      <c r="A31" s="43" t="s">
        <v>74</v>
      </c>
    </row>
    <row r="32" spans="1:1" x14ac:dyDescent="0.25">
      <c r="A32" s="43" t="s">
        <v>75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94560"/>
  </sheetPr>
  <dimension ref="A1:H25"/>
  <sheetViews>
    <sheetView workbookViewId="0">
      <pane ySplit="2" topLeftCell="A3" activePane="bottomLeft" state="frozen"/>
      <selection sqref="A1:G1"/>
      <selection pane="bottomLeft" sqref="A1:G1"/>
    </sheetView>
  </sheetViews>
  <sheetFormatPr defaultRowHeight="15" x14ac:dyDescent="0.25"/>
  <cols>
    <col min="1" max="1" width="42" style="37" customWidth="1"/>
    <col min="2" max="2" width="16" style="37" customWidth="1"/>
    <col min="3" max="3" width="32" style="37" customWidth="1"/>
    <col min="4" max="4" width="3" style="37" customWidth="1"/>
    <col min="5" max="5" width="38" style="37" customWidth="1"/>
    <col min="6" max="6" width="14" style="37" customWidth="1"/>
    <col min="7" max="7" width="8" style="37" customWidth="1"/>
  </cols>
  <sheetData>
    <row r="1" spans="1:8" ht="42" customHeight="1" x14ac:dyDescent="0.25">
      <c r="A1" s="59" t="s">
        <v>76</v>
      </c>
      <c r="B1" s="52"/>
      <c r="C1" s="52"/>
      <c r="D1" s="52"/>
      <c r="E1" s="52"/>
      <c r="F1" s="52"/>
      <c r="G1" s="52"/>
      <c r="H1" s="52"/>
    </row>
    <row r="2" spans="1:8" ht="24" customHeight="1" x14ac:dyDescent="0.25">
      <c r="A2" s="58" t="s">
        <v>77</v>
      </c>
      <c r="B2" s="52"/>
      <c r="C2" s="52"/>
      <c r="D2" s="52"/>
      <c r="E2" s="52"/>
      <c r="F2" s="52"/>
      <c r="G2" s="52"/>
      <c r="H2" s="52"/>
    </row>
    <row r="4" spans="1:8" ht="15.75" customHeight="1" x14ac:dyDescent="0.25">
      <c r="A4" s="56" t="s">
        <v>78</v>
      </c>
      <c r="B4" s="52"/>
      <c r="C4" s="52"/>
      <c r="D4" s="52"/>
      <c r="E4" s="52"/>
      <c r="F4" s="52"/>
      <c r="G4" s="52"/>
      <c r="H4" s="52"/>
    </row>
    <row r="5" spans="1:8" x14ac:dyDescent="0.25">
      <c r="A5" s="1" t="s">
        <v>79</v>
      </c>
      <c r="B5" s="1" t="s">
        <v>80</v>
      </c>
      <c r="C5" s="1" t="s">
        <v>81</v>
      </c>
      <c r="D5" s="1"/>
      <c r="E5" s="1" t="s">
        <v>82</v>
      </c>
      <c r="F5" s="1" t="s">
        <v>83</v>
      </c>
      <c r="G5" s="1" t="s">
        <v>84</v>
      </c>
      <c r="H5" s="1"/>
    </row>
    <row r="6" spans="1:8" x14ac:dyDescent="0.25">
      <c r="A6" s="36" t="s">
        <v>85</v>
      </c>
      <c r="B6" s="36">
        <f>IFERROR(COUNTIF('Skills Checklist'!F:F,"Done")/COUNTIF('Skills Checklist'!A:A,"&lt;&gt;""")* 100,0)</f>
        <v>0</v>
      </c>
      <c r="C6" s="36" t="s">
        <v>86</v>
      </c>
      <c r="E6" s="36" t="s">
        <v>87</v>
      </c>
      <c r="F6" s="36" t="s">
        <v>88</v>
      </c>
      <c r="G6" s="36" t="s">
        <v>89</v>
      </c>
    </row>
    <row r="7" spans="1:8" x14ac:dyDescent="0.25">
      <c r="A7" s="38" t="s">
        <v>90</v>
      </c>
      <c r="B7" s="38">
        <f ca="1">IFERROR(INT((TODAY()-DATE(2026,3,20))/7),0)</f>
        <v>-1</v>
      </c>
      <c r="C7" s="38" t="s">
        <v>91</v>
      </c>
      <c r="E7" s="38" t="s">
        <v>92</v>
      </c>
      <c r="F7" s="38" t="s">
        <v>93</v>
      </c>
      <c r="G7" s="38" t="s">
        <v>89</v>
      </c>
    </row>
    <row r="8" spans="1:8" x14ac:dyDescent="0.25">
      <c r="A8" s="36" t="s">
        <v>94</v>
      </c>
      <c r="B8" s="36">
        <f ca="1">MAX(0,16-IFERROR(INT((TODAY()-DATE(2026,3,20))/7),0))</f>
        <v>17</v>
      </c>
      <c r="C8" s="36" t="s">
        <v>95</v>
      </c>
      <c r="E8" s="36" t="s">
        <v>96</v>
      </c>
      <c r="F8" s="36" t="s">
        <v>97</v>
      </c>
      <c r="G8" s="36" t="s">
        <v>89</v>
      </c>
    </row>
    <row r="9" spans="1:8" x14ac:dyDescent="0.25">
      <c r="A9" s="38" t="s">
        <v>98</v>
      </c>
      <c r="B9" s="38">
        <f>COUNTIF('Skills Checklist'!F:F,"Done")</f>
        <v>0</v>
      </c>
      <c r="C9" s="38" t="s">
        <v>99</v>
      </c>
      <c r="E9" s="38" t="s">
        <v>100</v>
      </c>
      <c r="F9" s="38" t="s">
        <v>101</v>
      </c>
      <c r="G9" s="38" t="s">
        <v>89</v>
      </c>
    </row>
    <row r="10" spans="1:8" x14ac:dyDescent="0.25">
      <c r="A10" s="36" t="s">
        <v>102</v>
      </c>
      <c r="B10" s="36">
        <f>COUNTIF('Skills Checklist'!F:F,"In Progress")</f>
        <v>0</v>
      </c>
      <c r="C10" s="36"/>
      <c r="E10" s="36" t="s">
        <v>103</v>
      </c>
      <c r="F10" s="36" t="s">
        <v>104</v>
      </c>
      <c r="G10" s="36" t="s">
        <v>89</v>
      </c>
    </row>
    <row r="11" spans="1:8" x14ac:dyDescent="0.25">
      <c r="A11" s="38" t="s">
        <v>105</v>
      </c>
      <c r="B11" s="38">
        <f>COUNTIF('Skills Checklist'!F:F,"Not started")</f>
        <v>0</v>
      </c>
      <c r="C11" s="38"/>
      <c r="E11" s="38" t="s">
        <v>106</v>
      </c>
      <c r="F11" s="38" t="s">
        <v>107</v>
      </c>
      <c r="G11" s="38" t="s">
        <v>89</v>
      </c>
    </row>
    <row r="12" spans="1:8" x14ac:dyDescent="0.25">
      <c r="A12" s="36" t="s">
        <v>108</v>
      </c>
      <c r="B12" s="36">
        <f>COUNTIF(Projects!I:I,"Done")</f>
        <v>0</v>
      </c>
      <c r="C12" s="36"/>
      <c r="E12" s="36" t="s">
        <v>109</v>
      </c>
      <c r="F12" s="36" t="s">
        <v>107</v>
      </c>
      <c r="G12" s="36" t="s">
        <v>89</v>
      </c>
    </row>
    <row r="13" spans="1:8" x14ac:dyDescent="0.25">
      <c r="A13" s="38" t="s">
        <v>110</v>
      </c>
      <c r="B13" s="38">
        <f>COUNTA(Applications!A:A)-1</f>
        <v>1</v>
      </c>
      <c r="C13" s="38" t="s">
        <v>111</v>
      </c>
      <c r="E13" s="38" t="s">
        <v>112</v>
      </c>
      <c r="F13" s="38" t="s">
        <v>113</v>
      </c>
      <c r="G13" s="38" t="s">
        <v>89</v>
      </c>
    </row>
    <row r="14" spans="1:8" x14ac:dyDescent="0.25">
      <c r="A14" s="36" t="s">
        <v>114</v>
      </c>
      <c r="B14" s="36">
        <f>COUNTIF(Applications!F:F,"Interview")</f>
        <v>0</v>
      </c>
      <c r="C14" s="36"/>
    </row>
    <row r="15" spans="1:8" x14ac:dyDescent="0.25">
      <c r="A15" s="38" t="s">
        <v>115</v>
      </c>
      <c r="B15" s="38">
        <f>COUNTIF(Applications!F:F,"Offer")</f>
        <v>0</v>
      </c>
      <c r="C15" s="38"/>
    </row>
    <row r="17" spans="1:8" x14ac:dyDescent="0.25">
      <c r="A17" s="60" t="s">
        <v>116</v>
      </c>
      <c r="B17" s="52"/>
      <c r="C17" s="52"/>
      <c r="D17" s="52"/>
      <c r="E17" s="52"/>
      <c r="F17" s="52"/>
      <c r="G17" s="52"/>
      <c r="H17" s="52"/>
    </row>
    <row r="18" spans="1:8" x14ac:dyDescent="0.25">
      <c r="A18" s="53" t="s">
        <v>117</v>
      </c>
      <c r="B18" s="54"/>
      <c r="C18" s="54"/>
      <c r="D18" s="54"/>
      <c r="E18" s="54"/>
      <c r="F18" s="54"/>
      <c r="G18" s="54"/>
      <c r="H18" s="55"/>
    </row>
    <row r="19" spans="1:8" x14ac:dyDescent="0.25">
      <c r="A19" s="57" t="s">
        <v>118</v>
      </c>
      <c r="B19" s="54"/>
      <c r="C19" s="54"/>
      <c r="D19" s="54"/>
      <c r="E19" s="54"/>
      <c r="F19" s="54"/>
      <c r="G19" s="54"/>
      <c r="H19" s="55"/>
    </row>
    <row r="20" spans="1:8" x14ac:dyDescent="0.25">
      <c r="A20" s="53" t="s">
        <v>119</v>
      </c>
      <c r="B20" s="54"/>
      <c r="C20" s="54"/>
      <c r="D20" s="54"/>
      <c r="E20" s="54"/>
      <c r="F20" s="54"/>
      <c r="G20" s="54"/>
      <c r="H20" s="55"/>
    </row>
    <row r="21" spans="1:8" x14ac:dyDescent="0.25">
      <c r="A21" s="57" t="s">
        <v>120</v>
      </c>
      <c r="B21" s="54"/>
      <c r="C21" s="54"/>
      <c r="D21" s="54"/>
      <c r="E21" s="54"/>
      <c r="F21" s="54"/>
      <c r="G21" s="54"/>
      <c r="H21" s="55"/>
    </row>
    <row r="22" spans="1:8" x14ac:dyDescent="0.25">
      <c r="A22" s="53" t="s">
        <v>121</v>
      </c>
      <c r="B22" s="54"/>
      <c r="C22" s="54"/>
      <c r="D22" s="54"/>
      <c r="E22" s="54"/>
      <c r="F22" s="54"/>
      <c r="G22" s="54"/>
      <c r="H22" s="55"/>
    </row>
    <row r="23" spans="1:8" x14ac:dyDescent="0.25">
      <c r="A23" s="57" t="s">
        <v>122</v>
      </c>
      <c r="B23" s="54"/>
      <c r="C23" s="54"/>
      <c r="D23" s="54"/>
      <c r="E23" s="54"/>
      <c r="F23" s="54"/>
      <c r="G23" s="54"/>
      <c r="H23" s="55"/>
    </row>
    <row r="24" spans="1:8" x14ac:dyDescent="0.25">
      <c r="A24" s="53" t="s">
        <v>123</v>
      </c>
      <c r="B24" s="54"/>
      <c r="C24" s="54"/>
      <c r="D24" s="54"/>
      <c r="E24" s="54"/>
      <c r="F24" s="54"/>
      <c r="G24" s="54"/>
      <c r="H24" s="55"/>
    </row>
    <row r="25" spans="1:8" x14ac:dyDescent="0.25">
      <c r="A25" s="57" t="s">
        <v>124</v>
      </c>
      <c r="B25" s="54"/>
      <c r="C25" s="54"/>
      <c r="D25" s="54"/>
      <c r="E25" s="54"/>
      <c r="F25" s="54"/>
      <c r="G25" s="54"/>
      <c r="H25" s="55"/>
    </row>
  </sheetData>
  <mergeCells count="12">
    <mergeCell ref="A2:H2"/>
    <mergeCell ref="A19:H19"/>
    <mergeCell ref="A1:H1"/>
    <mergeCell ref="A23:H23"/>
    <mergeCell ref="A22:H22"/>
    <mergeCell ref="A17:H17"/>
    <mergeCell ref="A18:H18"/>
    <mergeCell ref="A4:H4"/>
    <mergeCell ref="A21:H21"/>
    <mergeCell ref="A25:H25"/>
    <mergeCell ref="A20:H20"/>
    <mergeCell ref="A24:H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3460"/>
  </sheetPr>
  <dimension ref="A1:G18"/>
  <sheetViews>
    <sheetView workbookViewId="0">
      <pane ySplit="2" topLeftCell="A3" activePane="bottomLeft" state="frozen"/>
      <selection pane="bottomLeft" sqref="A1:G1"/>
    </sheetView>
  </sheetViews>
  <sheetFormatPr defaultRowHeight="15" x14ac:dyDescent="0.25"/>
  <cols>
    <col min="1" max="1" width="10" style="37" customWidth="1"/>
    <col min="2" max="2" width="16" style="37" customWidth="1"/>
    <col min="3" max="3" width="24" style="37" customWidth="1"/>
    <col min="4" max="4" width="52" style="37" customWidth="1"/>
    <col min="5" max="6" width="46" style="37" customWidth="1"/>
    <col min="7" max="7" width="36" style="37" customWidth="1"/>
  </cols>
  <sheetData>
    <row r="1" spans="1:7" ht="36" customHeight="1" x14ac:dyDescent="0.25">
      <c r="A1" s="61" t="s">
        <v>125</v>
      </c>
      <c r="B1" s="52"/>
      <c r="C1" s="52"/>
      <c r="D1" s="52"/>
      <c r="E1" s="52"/>
      <c r="F1" s="52"/>
      <c r="G1" s="52"/>
    </row>
    <row r="2" spans="1:7" x14ac:dyDescent="0.25">
      <c r="A2" s="1" t="s">
        <v>126</v>
      </c>
      <c r="B2" s="1" t="s">
        <v>127</v>
      </c>
      <c r="C2" s="1" t="s">
        <v>128</v>
      </c>
      <c r="D2" s="1" t="s">
        <v>129</v>
      </c>
      <c r="E2" s="1" t="s">
        <v>130</v>
      </c>
      <c r="F2" s="1" t="s">
        <v>131</v>
      </c>
      <c r="G2" s="1" t="s">
        <v>6</v>
      </c>
    </row>
    <row r="3" spans="1:7" ht="72" customHeight="1" x14ac:dyDescent="0.25">
      <c r="A3" s="2" t="s">
        <v>132</v>
      </c>
      <c r="B3" s="3" t="s">
        <v>133</v>
      </c>
      <c r="C3" s="3" t="s">
        <v>134</v>
      </c>
      <c r="D3" s="3" t="s">
        <v>135</v>
      </c>
      <c r="E3" s="3" t="s">
        <v>136</v>
      </c>
      <c r="F3" s="3" t="s">
        <v>137</v>
      </c>
      <c r="G3" s="3" t="s">
        <v>138</v>
      </c>
    </row>
    <row r="4" spans="1:7" ht="72" customHeight="1" x14ac:dyDescent="0.25">
      <c r="A4" s="2" t="s">
        <v>47</v>
      </c>
      <c r="B4" s="3" t="s">
        <v>139</v>
      </c>
      <c r="C4" s="3" t="s">
        <v>140</v>
      </c>
      <c r="D4" s="3" t="s">
        <v>141</v>
      </c>
      <c r="E4" s="3" t="s">
        <v>142</v>
      </c>
      <c r="F4" s="3" t="s">
        <v>143</v>
      </c>
      <c r="G4" s="3" t="s">
        <v>144</v>
      </c>
    </row>
    <row r="5" spans="1:7" ht="72" customHeight="1" x14ac:dyDescent="0.25">
      <c r="A5" s="2" t="s">
        <v>25</v>
      </c>
      <c r="B5" s="3" t="s">
        <v>145</v>
      </c>
      <c r="C5" s="3" t="s">
        <v>146</v>
      </c>
      <c r="D5" s="3" t="s">
        <v>147</v>
      </c>
      <c r="E5" s="3" t="s">
        <v>148</v>
      </c>
      <c r="F5" s="3" t="s">
        <v>149</v>
      </c>
      <c r="G5" s="3" t="s">
        <v>150</v>
      </c>
    </row>
    <row r="6" spans="1:7" ht="72" customHeight="1" x14ac:dyDescent="0.25">
      <c r="A6" s="2" t="s">
        <v>30</v>
      </c>
      <c r="B6" s="3" t="s">
        <v>151</v>
      </c>
      <c r="C6" s="3" t="s">
        <v>152</v>
      </c>
      <c r="D6" s="3" t="s">
        <v>153</v>
      </c>
      <c r="E6" s="3" t="s">
        <v>154</v>
      </c>
      <c r="F6" s="3" t="s">
        <v>155</v>
      </c>
      <c r="G6" s="3" t="s">
        <v>156</v>
      </c>
    </row>
    <row r="7" spans="1:7" ht="72" customHeight="1" x14ac:dyDescent="0.25">
      <c r="A7" s="4" t="s">
        <v>157</v>
      </c>
      <c r="B7" s="5" t="s">
        <v>158</v>
      </c>
      <c r="C7" s="5" t="s">
        <v>159</v>
      </c>
      <c r="D7" s="5" t="s">
        <v>160</v>
      </c>
      <c r="E7" s="5" t="s">
        <v>161</v>
      </c>
      <c r="F7" s="5" t="s">
        <v>162</v>
      </c>
      <c r="G7" s="5" t="s">
        <v>163</v>
      </c>
    </row>
    <row r="8" spans="1:7" ht="72" customHeight="1" x14ac:dyDescent="0.25">
      <c r="A8" s="4" t="s">
        <v>164</v>
      </c>
      <c r="B8" s="5" t="s">
        <v>165</v>
      </c>
      <c r="C8" s="5" t="s">
        <v>166</v>
      </c>
      <c r="D8" s="5" t="s">
        <v>167</v>
      </c>
      <c r="E8" s="5" t="s">
        <v>168</v>
      </c>
      <c r="F8" s="5" t="s">
        <v>169</v>
      </c>
      <c r="G8" s="5" t="s">
        <v>170</v>
      </c>
    </row>
    <row r="9" spans="1:7" ht="72" customHeight="1" x14ac:dyDescent="0.25">
      <c r="A9" s="6" t="s">
        <v>42</v>
      </c>
      <c r="B9" s="7" t="s">
        <v>171</v>
      </c>
      <c r="C9" s="7" t="s">
        <v>172</v>
      </c>
      <c r="D9" s="7" t="s">
        <v>173</v>
      </c>
      <c r="E9" s="7" t="s">
        <v>174</v>
      </c>
      <c r="F9" s="7" t="s">
        <v>175</v>
      </c>
      <c r="G9" s="7" t="s">
        <v>176</v>
      </c>
    </row>
    <row r="10" spans="1:7" ht="72" customHeight="1" x14ac:dyDescent="0.25">
      <c r="A10" s="8" t="s">
        <v>20</v>
      </c>
      <c r="B10" s="9" t="s">
        <v>177</v>
      </c>
      <c r="C10" s="9" t="s">
        <v>178</v>
      </c>
      <c r="D10" s="9" t="s">
        <v>179</v>
      </c>
      <c r="E10" s="9" t="s">
        <v>180</v>
      </c>
      <c r="F10" s="9" t="s">
        <v>181</v>
      </c>
      <c r="G10" s="9" t="s">
        <v>182</v>
      </c>
    </row>
    <row r="11" spans="1:7" ht="72" customHeight="1" x14ac:dyDescent="0.25">
      <c r="A11" s="2" t="s">
        <v>183</v>
      </c>
      <c r="B11" s="3" t="s">
        <v>184</v>
      </c>
      <c r="C11" s="3" t="s">
        <v>185</v>
      </c>
      <c r="D11" s="3" t="s">
        <v>186</v>
      </c>
      <c r="E11" s="3" t="s">
        <v>187</v>
      </c>
      <c r="F11" s="3" t="s">
        <v>188</v>
      </c>
      <c r="G11" s="3" t="s">
        <v>189</v>
      </c>
    </row>
    <row r="12" spans="1:7" ht="72" customHeight="1" x14ac:dyDescent="0.25">
      <c r="A12" s="8" t="s">
        <v>190</v>
      </c>
      <c r="B12" s="9" t="s">
        <v>191</v>
      </c>
      <c r="C12" s="9" t="s">
        <v>192</v>
      </c>
      <c r="D12" s="9" t="s">
        <v>193</v>
      </c>
      <c r="E12" s="9" t="s">
        <v>194</v>
      </c>
      <c r="F12" s="9" t="s">
        <v>195</v>
      </c>
      <c r="G12" s="9" t="s">
        <v>196</v>
      </c>
    </row>
    <row r="13" spans="1:7" ht="72" customHeight="1" x14ac:dyDescent="0.25">
      <c r="A13" s="2" t="s">
        <v>52</v>
      </c>
      <c r="B13" s="3" t="s">
        <v>197</v>
      </c>
      <c r="C13" s="3" t="s">
        <v>198</v>
      </c>
      <c r="D13" s="3" t="s">
        <v>199</v>
      </c>
      <c r="E13" s="3" t="s">
        <v>200</v>
      </c>
      <c r="F13" s="3" t="s">
        <v>201</v>
      </c>
      <c r="G13" s="3" t="s">
        <v>202</v>
      </c>
    </row>
    <row r="14" spans="1:7" ht="72" customHeight="1" x14ac:dyDescent="0.25">
      <c r="A14" s="2" t="s">
        <v>57</v>
      </c>
      <c r="B14" s="3" t="s">
        <v>203</v>
      </c>
      <c r="C14" s="3" t="s">
        <v>204</v>
      </c>
      <c r="D14" s="3" t="s">
        <v>205</v>
      </c>
      <c r="E14" s="3" t="s">
        <v>206</v>
      </c>
      <c r="F14" s="3" t="s">
        <v>207</v>
      </c>
      <c r="G14" s="3" t="s">
        <v>208</v>
      </c>
    </row>
    <row r="15" spans="1:7" ht="72" customHeight="1" x14ac:dyDescent="0.25">
      <c r="A15" s="2" t="s">
        <v>209</v>
      </c>
      <c r="B15" s="3" t="s">
        <v>210</v>
      </c>
      <c r="C15" s="3" t="s">
        <v>211</v>
      </c>
      <c r="D15" s="3" t="s">
        <v>212</v>
      </c>
      <c r="E15" s="3" t="s">
        <v>213</v>
      </c>
      <c r="F15" s="3" t="s">
        <v>214</v>
      </c>
      <c r="G15" s="3" t="s">
        <v>215</v>
      </c>
    </row>
    <row r="16" spans="1:7" ht="72" customHeight="1" x14ac:dyDescent="0.25">
      <c r="A16" s="2" t="s">
        <v>216</v>
      </c>
      <c r="B16" s="3" t="s">
        <v>217</v>
      </c>
      <c r="C16" s="3" t="s">
        <v>218</v>
      </c>
      <c r="D16" s="3" t="s">
        <v>219</v>
      </c>
      <c r="E16" s="3" t="s">
        <v>220</v>
      </c>
      <c r="F16" s="3" t="s">
        <v>221</v>
      </c>
      <c r="G16" s="3" t="s">
        <v>222</v>
      </c>
    </row>
    <row r="17" spans="1:7" ht="72" customHeight="1" x14ac:dyDescent="0.25">
      <c r="A17" s="10" t="s">
        <v>223</v>
      </c>
      <c r="B17" s="11" t="s">
        <v>224</v>
      </c>
      <c r="C17" s="11" t="s">
        <v>225</v>
      </c>
      <c r="D17" s="11" t="s">
        <v>226</v>
      </c>
      <c r="E17" s="11" t="s">
        <v>227</v>
      </c>
      <c r="F17" s="11" t="s">
        <v>228</v>
      </c>
      <c r="G17" s="11" t="s">
        <v>229</v>
      </c>
    </row>
    <row r="18" spans="1:7" ht="72" customHeight="1" x14ac:dyDescent="0.25">
      <c r="A18" s="2" t="s">
        <v>230</v>
      </c>
      <c r="B18" s="3" t="s">
        <v>231</v>
      </c>
      <c r="C18" s="3" t="s">
        <v>232</v>
      </c>
      <c r="D18" s="3" t="s">
        <v>233</v>
      </c>
      <c r="E18" s="3" t="s">
        <v>234</v>
      </c>
      <c r="F18" s="3" t="s">
        <v>235</v>
      </c>
      <c r="G18" s="3" t="s">
        <v>236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4D8"/>
  </sheetPr>
  <dimension ref="A1:I47"/>
  <sheetViews>
    <sheetView tabSelected="1" topLeftCell="A9" workbookViewId="0">
      <selection activeCell="G16" sqref="G16"/>
    </sheetView>
  </sheetViews>
  <sheetFormatPr defaultRowHeight="15" x14ac:dyDescent="0.25"/>
  <cols>
    <col min="1" max="1" width="12" style="37" customWidth="1"/>
    <col min="2" max="2" width="14" style="37" customWidth="1"/>
    <col min="3" max="9" width="20" style="37" customWidth="1"/>
  </cols>
  <sheetData>
    <row r="1" spans="1:9" ht="36" customHeight="1" x14ac:dyDescent="0.25">
      <c r="A1" s="61" t="s">
        <v>237</v>
      </c>
      <c r="B1" s="52"/>
      <c r="C1" s="52"/>
      <c r="D1" s="52"/>
      <c r="E1" s="52"/>
      <c r="F1" s="52"/>
      <c r="G1" s="52"/>
      <c r="H1" s="52"/>
      <c r="I1" s="52"/>
    </row>
    <row r="2" spans="1:9" x14ac:dyDescent="0.25">
      <c r="A2" s="64" t="s">
        <v>238</v>
      </c>
      <c r="B2" s="52"/>
      <c r="C2" s="52"/>
      <c r="D2" s="52"/>
      <c r="E2" s="52"/>
      <c r="F2" s="52"/>
      <c r="G2" s="52"/>
      <c r="H2" s="52"/>
      <c r="I2" s="52"/>
    </row>
    <row r="4" spans="1:9" x14ac:dyDescent="0.25">
      <c r="A4" s="1" t="s">
        <v>239</v>
      </c>
      <c r="B4" s="1" t="s">
        <v>240</v>
      </c>
      <c r="C4" s="1" t="s">
        <v>241</v>
      </c>
      <c r="D4" s="1" t="s">
        <v>242</v>
      </c>
      <c r="E4" s="1" t="s">
        <v>243</v>
      </c>
      <c r="F4" s="1" t="s">
        <v>244</v>
      </c>
      <c r="G4" s="1" t="s">
        <v>245</v>
      </c>
      <c r="H4" s="1" t="s">
        <v>246</v>
      </c>
      <c r="I4" s="1" t="s">
        <v>247</v>
      </c>
    </row>
    <row r="5" spans="1:9" ht="36" customHeight="1" x14ac:dyDescent="0.25">
      <c r="A5" s="12" t="s">
        <v>248</v>
      </c>
      <c r="B5" s="13" t="s">
        <v>249</v>
      </c>
      <c r="C5" s="14" t="s">
        <v>250</v>
      </c>
      <c r="D5" s="15" t="s">
        <v>251</v>
      </c>
      <c r="E5" s="16" t="s">
        <v>252</v>
      </c>
      <c r="F5" s="17" t="s">
        <v>253</v>
      </c>
      <c r="G5" s="18" t="s">
        <v>254</v>
      </c>
      <c r="H5" s="19" t="s">
        <v>255</v>
      </c>
      <c r="I5" s="20" t="s">
        <v>256</v>
      </c>
    </row>
    <row r="6" spans="1:9" ht="36" customHeight="1" x14ac:dyDescent="0.25">
      <c r="A6" s="12" t="s">
        <v>257</v>
      </c>
      <c r="B6" s="13" t="s">
        <v>258</v>
      </c>
      <c r="C6" s="14" t="s">
        <v>250</v>
      </c>
      <c r="D6" s="15" t="s">
        <v>251</v>
      </c>
      <c r="E6" s="16" t="s">
        <v>252</v>
      </c>
      <c r="F6" s="17" t="s">
        <v>253</v>
      </c>
      <c r="G6" s="18" t="s">
        <v>254</v>
      </c>
      <c r="H6" s="19" t="s">
        <v>255</v>
      </c>
      <c r="I6" s="20" t="s">
        <v>256</v>
      </c>
    </row>
    <row r="7" spans="1:9" ht="36" customHeight="1" x14ac:dyDescent="0.25">
      <c r="A7" s="12" t="s">
        <v>259</v>
      </c>
      <c r="B7" s="13" t="s">
        <v>260</v>
      </c>
      <c r="C7" s="14" t="s">
        <v>261</v>
      </c>
      <c r="D7" s="15" t="s">
        <v>261</v>
      </c>
      <c r="E7" s="16" t="s">
        <v>261</v>
      </c>
      <c r="F7" s="17" t="s">
        <v>261</v>
      </c>
      <c r="G7" s="18" t="s">
        <v>261</v>
      </c>
      <c r="H7" s="19" t="s">
        <v>262</v>
      </c>
      <c r="I7" s="20" t="s">
        <v>263</v>
      </c>
    </row>
    <row r="8" spans="1:9" ht="36" customHeight="1" x14ac:dyDescent="0.25">
      <c r="A8" s="12" t="s">
        <v>264</v>
      </c>
      <c r="B8" s="13" t="s">
        <v>265</v>
      </c>
      <c r="C8" s="14" t="s">
        <v>266</v>
      </c>
      <c r="D8" s="15" t="s">
        <v>266</v>
      </c>
      <c r="E8" s="16" t="s">
        <v>266</v>
      </c>
      <c r="F8" s="17" t="s">
        <v>266</v>
      </c>
      <c r="G8" s="18" t="s">
        <v>266</v>
      </c>
      <c r="H8" s="19" t="s">
        <v>266</v>
      </c>
      <c r="I8" s="20" t="s">
        <v>266</v>
      </c>
    </row>
    <row r="9" spans="1:9" ht="36" customHeight="1" x14ac:dyDescent="0.25">
      <c r="A9" s="12" t="s">
        <v>267</v>
      </c>
      <c r="B9" s="13" t="s">
        <v>268</v>
      </c>
      <c r="C9" s="14" t="s">
        <v>269</v>
      </c>
      <c r="D9" s="15" t="s">
        <v>270</v>
      </c>
      <c r="E9" s="16" t="s">
        <v>271</v>
      </c>
      <c r="F9" s="17" t="s">
        <v>272</v>
      </c>
      <c r="G9" s="18" t="s">
        <v>273</v>
      </c>
      <c r="H9" s="19" t="s">
        <v>274</v>
      </c>
      <c r="I9" s="20" t="s">
        <v>275</v>
      </c>
    </row>
    <row r="10" spans="1:9" ht="36" customHeight="1" x14ac:dyDescent="0.25">
      <c r="A10" s="12" t="s">
        <v>276</v>
      </c>
      <c r="B10" s="13" t="s">
        <v>277</v>
      </c>
      <c r="C10" s="14" t="s">
        <v>278</v>
      </c>
      <c r="D10" s="15" t="s">
        <v>279</v>
      </c>
      <c r="E10" s="16" t="s">
        <v>280</v>
      </c>
      <c r="F10" s="17" t="s">
        <v>281</v>
      </c>
      <c r="G10" s="18" t="s">
        <v>282</v>
      </c>
      <c r="H10" s="19" t="s">
        <v>283</v>
      </c>
      <c r="I10" s="20" t="s">
        <v>284</v>
      </c>
    </row>
    <row r="11" spans="1:9" ht="36" customHeight="1" x14ac:dyDescent="0.25">
      <c r="A11" s="12" t="s">
        <v>285</v>
      </c>
      <c r="B11" s="13" t="s">
        <v>286</v>
      </c>
      <c r="C11" s="14" t="s">
        <v>287</v>
      </c>
      <c r="D11" s="15" t="s">
        <v>288</v>
      </c>
      <c r="E11" s="16" t="s">
        <v>289</v>
      </c>
      <c r="F11" s="17" t="s">
        <v>290</v>
      </c>
      <c r="G11" s="18" t="s">
        <v>291</v>
      </c>
      <c r="H11" s="19" t="s">
        <v>292</v>
      </c>
      <c r="I11" s="20" t="s">
        <v>293</v>
      </c>
    </row>
    <row r="12" spans="1:9" ht="36" customHeight="1" x14ac:dyDescent="0.25">
      <c r="A12" s="12" t="s">
        <v>294</v>
      </c>
      <c r="B12" s="13" t="s">
        <v>295</v>
      </c>
      <c r="C12" s="14" t="s">
        <v>296</v>
      </c>
      <c r="D12" s="15" t="s">
        <v>296</v>
      </c>
      <c r="E12" s="16" t="s">
        <v>296</v>
      </c>
      <c r="F12" s="17" t="s">
        <v>296</v>
      </c>
      <c r="G12" s="18" t="s">
        <v>296</v>
      </c>
      <c r="H12" s="19" t="s">
        <v>297</v>
      </c>
      <c r="I12" s="20" t="s">
        <v>298</v>
      </c>
    </row>
    <row r="14" spans="1:9" ht="27.95" customHeight="1" x14ac:dyDescent="0.25">
      <c r="A14" s="56" t="s">
        <v>299</v>
      </c>
      <c r="B14" s="52"/>
      <c r="C14" s="52"/>
      <c r="D14" s="52"/>
      <c r="E14" s="52"/>
      <c r="F14" s="52"/>
      <c r="G14" s="52"/>
      <c r="H14" s="52"/>
      <c r="I14" s="52"/>
    </row>
    <row r="15" spans="1:9" x14ac:dyDescent="0.25">
      <c r="A15" s="21" t="s">
        <v>126</v>
      </c>
      <c r="B15" s="21" t="s">
        <v>300</v>
      </c>
      <c r="C15" s="21" t="s">
        <v>301</v>
      </c>
      <c r="D15" s="21" t="s">
        <v>302</v>
      </c>
      <c r="E15" s="21" t="s">
        <v>303</v>
      </c>
      <c r="F15" s="21" t="s">
        <v>304</v>
      </c>
      <c r="G15" s="21" t="s">
        <v>305</v>
      </c>
      <c r="H15" s="21" t="s">
        <v>306</v>
      </c>
      <c r="I15" s="21" t="s">
        <v>307</v>
      </c>
    </row>
    <row r="16" spans="1:9" ht="36" customHeight="1" x14ac:dyDescent="0.25">
      <c r="A16" s="22">
        <v>1</v>
      </c>
      <c r="B16" s="23" t="s">
        <v>308</v>
      </c>
      <c r="C16" s="23" t="s">
        <v>309</v>
      </c>
      <c r="D16" s="23" t="s">
        <v>310</v>
      </c>
      <c r="E16" s="23" t="s">
        <v>311</v>
      </c>
      <c r="F16" s="23" t="s">
        <v>312</v>
      </c>
      <c r="G16" s="23" t="s">
        <v>313</v>
      </c>
      <c r="H16" s="23" t="s">
        <v>314</v>
      </c>
      <c r="I16" s="23" t="s">
        <v>315</v>
      </c>
    </row>
    <row r="17" spans="1:9" ht="36" customHeight="1" x14ac:dyDescent="0.25">
      <c r="A17" s="24">
        <v>2</v>
      </c>
      <c r="B17" s="25" t="s">
        <v>316</v>
      </c>
      <c r="C17" s="25" t="s">
        <v>317</v>
      </c>
      <c r="D17" s="25" t="s">
        <v>318</v>
      </c>
      <c r="E17" s="25" t="s">
        <v>319</v>
      </c>
      <c r="F17" s="25" t="s">
        <v>320</v>
      </c>
      <c r="G17" s="25" t="s">
        <v>321</v>
      </c>
      <c r="H17" s="25" t="s">
        <v>322</v>
      </c>
      <c r="I17" s="25" t="s">
        <v>323</v>
      </c>
    </row>
    <row r="18" spans="1:9" ht="36" customHeight="1" x14ac:dyDescent="0.25">
      <c r="A18" s="22">
        <v>3</v>
      </c>
      <c r="B18" s="23" t="s">
        <v>324</v>
      </c>
      <c r="C18" s="23" t="s">
        <v>325</v>
      </c>
      <c r="D18" s="23" t="s">
        <v>326</v>
      </c>
      <c r="E18" s="23" t="s">
        <v>327</v>
      </c>
      <c r="F18" s="23" t="s">
        <v>328</v>
      </c>
      <c r="G18" s="23" t="s">
        <v>329</v>
      </c>
      <c r="H18" s="23" t="s">
        <v>330</v>
      </c>
      <c r="I18" s="23" t="s">
        <v>331</v>
      </c>
    </row>
    <row r="19" spans="1:9" ht="36" customHeight="1" x14ac:dyDescent="0.25">
      <c r="A19" s="24">
        <v>4</v>
      </c>
      <c r="B19" s="25" t="s">
        <v>332</v>
      </c>
      <c r="C19" s="25" t="s">
        <v>333</v>
      </c>
      <c r="D19" s="25" t="s">
        <v>334</v>
      </c>
      <c r="E19" s="25" t="s">
        <v>335</v>
      </c>
      <c r="F19" s="25" t="s">
        <v>336</v>
      </c>
      <c r="G19" s="25" t="s">
        <v>337</v>
      </c>
      <c r="H19" s="25" t="s">
        <v>338</v>
      </c>
      <c r="I19" s="25" t="s">
        <v>323</v>
      </c>
    </row>
    <row r="20" spans="1:9" ht="36" customHeight="1" x14ac:dyDescent="0.25">
      <c r="A20" s="22">
        <v>5</v>
      </c>
      <c r="B20" s="23" t="s">
        <v>339</v>
      </c>
      <c r="C20" s="23" t="s">
        <v>340</v>
      </c>
      <c r="D20" s="23" t="s">
        <v>341</v>
      </c>
      <c r="E20" s="23" t="s">
        <v>342</v>
      </c>
      <c r="F20" s="23" t="s">
        <v>343</v>
      </c>
      <c r="G20" s="23" t="s">
        <v>344</v>
      </c>
      <c r="H20" s="23" t="s">
        <v>345</v>
      </c>
      <c r="I20" s="23" t="s">
        <v>331</v>
      </c>
    </row>
    <row r="21" spans="1:9" ht="36" customHeight="1" x14ac:dyDescent="0.25">
      <c r="A21" s="24">
        <v>6</v>
      </c>
      <c r="B21" s="25" t="s">
        <v>346</v>
      </c>
      <c r="C21" s="25" t="s">
        <v>347</v>
      </c>
      <c r="D21" s="25" t="s">
        <v>348</v>
      </c>
      <c r="E21" s="25" t="s">
        <v>349</v>
      </c>
      <c r="F21" s="25" t="s">
        <v>350</v>
      </c>
      <c r="G21" s="25" t="s">
        <v>351</v>
      </c>
      <c r="H21" s="25" t="s">
        <v>352</v>
      </c>
      <c r="I21" s="25" t="s">
        <v>323</v>
      </c>
    </row>
    <row r="22" spans="1:9" ht="36" customHeight="1" x14ac:dyDescent="0.25">
      <c r="A22" s="22">
        <v>7</v>
      </c>
      <c r="B22" s="23" t="s">
        <v>353</v>
      </c>
      <c r="C22" s="23" t="s">
        <v>354</v>
      </c>
      <c r="D22" s="23" t="s">
        <v>355</v>
      </c>
      <c r="E22" s="23" t="s">
        <v>356</v>
      </c>
      <c r="F22" s="23" t="s">
        <v>357</v>
      </c>
      <c r="G22" s="23" t="s">
        <v>358</v>
      </c>
      <c r="H22" s="23" t="s">
        <v>359</v>
      </c>
      <c r="I22" s="23" t="s">
        <v>331</v>
      </c>
    </row>
    <row r="23" spans="1:9" ht="36" customHeight="1" x14ac:dyDescent="0.25">
      <c r="A23" s="24">
        <v>8</v>
      </c>
      <c r="B23" s="25" t="s">
        <v>360</v>
      </c>
      <c r="C23" s="25" t="s">
        <v>361</v>
      </c>
      <c r="D23" s="25" t="s">
        <v>362</v>
      </c>
      <c r="E23" s="25" t="s">
        <v>363</v>
      </c>
      <c r="F23" s="25" t="s">
        <v>364</v>
      </c>
      <c r="G23" s="25" t="s">
        <v>365</v>
      </c>
      <c r="H23" s="25" t="s">
        <v>366</v>
      </c>
      <c r="I23" s="25" t="s">
        <v>323</v>
      </c>
    </row>
    <row r="24" spans="1:9" ht="36" customHeight="1" x14ac:dyDescent="0.25">
      <c r="A24" s="22">
        <v>9</v>
      </c>
      <c r="B24" s="23" t="s">
        <v>367</v>
      </c>
      <c r="C24" s="23" t="s">
        <v>368</v>
      </c>
      <c r="D24" s="23" t="s">
        <v>369</v>
      </c>
      <c r="E24" s="23" t="s">
        <v>370</v>
      </c>
      <c r="F24" s="23" t="s">
        <v>371</v>
      </c>
      <c r="G24" s="23" t="s">
        <v>372</v>
      </c>
      <c r="H24" s="23" t="s">
        <v>373</v>
      </c>
      <c r="I24" s="23" t="s">
        <v>331</v>
      </c>
    </row>
    <row r="25" spans="1:9" ht="36" customHeight="1" x14ac:dyDescent="0.25">
      <c r="A25" s="24">
        <v>10</v>
      </c>
      <c r="B25" s="25" t="s">
        <v>374</v>
      </c>
      <c r="C25" s="25" t="s">
        <v>375</v>
      </c>
      <c r="D25" s="25" t="s">
        <v>376</v>
      </c>
      <c r="E25" s="25" t="s">
        <v>377</v>
      </c>
      <c r="F25" s="25" t="s">
        <v>378</v>
      </c>
      <c r="G25" s="25" t="s">
        <v>379</v>
      </c>
      <c r="H25" s="25" t="s">
        <v>380</v>
      </c>
      <c r="I25" s="25" t="s">
        <v>323</v>
      </c>
    </row>
    <row r="26" spans="1:9" ht="36" customHeight="1" x14ac:dyDescent="0.25">
      <c r="A26" s="22">
        <v>11</v>
      </c>
      <c r="B26" s="23" t="s">
        <v>381</v>
      </c>
      <c r="C26" s="23" t="s">
        <v>382</v>
      </c>
      <c r="D26" s="23" t="s">
        <v>383</v>
      </c>
      <c r="E26" s="23" t="s">
        <v>384</v>
      </c>
      <c r="F26" s="23" t="s">
        <v>385</v>
      </c>
      <c r="G26" s="23" t="s">
        <v>386</v>
      </c>
      <c r="H26" s="23" t="s">
        <v>387</v>
      </c>
      <c r="I26" s="23" t="s">
        <v>331</v>
      </c>
    </row>
    <row r="27" spans="1:9" ht="36" customHeight="1" x14ac:dyDescent="0.25">
      <c r="A27" s="24">
        <v>12</v>
      </c>
      <c r="B27" s="25" t="s">
        <v>388</v>
      </c>
      <c r="C27" s="25" t="s">
        <v>389</v>
      </c>
      <c r="D27" s="25" t="s">
        <v>390</v>
      </c>
      <c r="E27" s="25" t="s">
        <v>391</v>
      </c>
      <c r="F27" s="25" t="s">
        <v>392</v>
      </c>
      <c r="G27" s="25" t="s">
        <v>393</v>
      </c>
      <c r="H27" s="25" t="s">
        <v>394</v>
      </c>
      <c r="I27" s="25" t="s">
        <v>323</v>
      </c>
    </row>
    <row r="28" spans="1:9" ht="36" customHeight="1" x14ac:dyDescent="0.25">
      <c r="A28" s="22">
        <v>13</v>
      </c>
      <c r="B28" s="23" t="s">
        <v>395</v>
      </c>
      <c r="C28" s="23" t="s">
        <v>396</v>
      </c>
      <c r="D28" s="23" t="s">
        <v>397</v>
      </c>
      <c r="E28" s="23" t="s">
        <v>398</v>
      </c>
      <c r="F28" s="23" t="s">
        <v>399</v>
      </c>
      <c r="G28" s="23" t="s">
        <v>400</v>
      </c>
      <c r="H28" s="23" t="s">
        <v>401</v>
      </c>
      <c r="I28" s="23" t="s">
        <v>331</v>
      </c>
    </row>
    <row r="29" spans="1:9" ht="36" customHeight="1" x14ac:dyDescent="0.25">
      <c r="A29" s="24">
        <v>14</v>
      </c>
      <c r="B29" s="25" t="s">
        <v>402</v>
      </c>
      <c r="C29" s="25" t="s">
        <v>403</v>
      </c>
      <c r="D29" s="25" t="s">
        <v>404</v>
      </c>
      <c r="E29" s="25" t="s">
        <v>405</v>
      </c>
      <c r="F29" s="25" t="s">
        <v>406</v>
      </c>
      <c r="G29" s="25" t="s">
        <v>407</v>
      </c>
      <c r="H29" s="25" t="s">
        <v>408</v>
      </c>
      <c r="I29" s="25" t="s">
        <v>323</v>
      </c>
    </row>
    <row r="30" spans="1:9" ht="36" customHeight="1" x14ac:dyDescent="0.25">
      <c r="A30" s="22">
        <v>15</v>
      </c>
      <c r="B30" s="23" t="s">
        <v>409</v>
      </c>
      <c r="C30" s="23" t="s">
        <v>410</v>
      </c>
      <c r="D30" s="23" t="s">
        <v>411</v>
      </c>
      <c r="E30" s="23" t="s">
        <v>412</v>
      </c>
      <c r="F30" s="23" t="s">
        <v>413</v>
      </c>
      <c r="G30" s="23" t="s">
        <v>414</v>
      </c>
      <c r="H30" s="23" t="s">
        <v>415</v>
      </c>
      <c r="I30" s="23" t="s">
        <v>416</v>
      </c>
    </row>
    <row r="31" spans="1:9" ht="36" customHeight="1" x14ac:dyDescent="0.25">
      <c r="A31" s="24">
        <v>16</v>
      </c>
      <c r="B31" s="25" t="s">
        <v>417</v>
      </c>
      <c r="C31" s="25" t="s">
        <v>418</v>
      </c>
      <c r="D31" s="25" t="s">
        <v>419</v>
      </c>
      <c r="E31" s="25" t="s">
        <v>420</v>
      </c>
      <c r="F31" s="25" t="s">
        <v>421</v>
      </c>
      <c r="G31" s="25" t="s">
        <v>422</v>
      </c>
      <c r="H31" s="25" t="s">
        <v>423</v>
      </c>
      <c r="I31" s="25" t="s">
        <v>424</v>
      </c>
    </row>
    <row r="33" spans="1:9" x14ac:dyDescent="0.25">
      <c r="A33" s="65" t="s">
        <v>425</v>
      </c>
      <c r="B33" s="52"/>
      <c r="C33" s="52"/>
      <c r="D33" s="52"/>
      <c r="E33" s="52"/>
      <c r="F33" s="52"/>
      <c r="G33" s="52"/>
      <c r="H33" s="52"/>
      <c r="I33" s="52"/>
    </row>
    <row r="34" spans="1:9" x14ac:dyDescent="0.25">
      <c r="A34" s="45" t="s">
        <v>426</v>
      </c>
      <c r="C34" s="62" t="s">
        <v>427</v>
      </c>
      <c r="D34" s="52"/>
      <c r="E34" s="52"/>
      <c r="F34" s="52"/>
      <c r="G34" s="52"/>
      <c r="H34" s="52"/>
      <c r="I34" s="52"/>
    </row>
    <row r="35" spans="1:9" x14ac:dyDescent="0.25">
      <c r="A35" s="46" t="s">
        <v>428</v>
      </c>
      <c r="C35" s="63" t="s">
        <v>429</v>
      </c>
      <c r="D35" s="52"/>
      <c r="E35" s="52"/>
      <c r="F35" s="52"/>
      <c r="G35" s="52"/>
      <c r="H35" s="52"/>
      <c r="I35" s="52"/>
    </row>
    <row r="36" spans="1:9" x14ac:dyDescent="0.25">
      <c r="A36" s="45" t="s">
        <v>430</v>
      </c>
      <c r="C36" s="62" t="s">
        <v>431</v>
      </c>
      <c r="D36" s="52"/>
      <c r="E36" s="52"/>
      <c r="F36" s="52"/>
      <c r="G36" s="52"/>
      <c r="H36" s="52"/>
      <c r="I36" s="52"/>
    </row>
    <row r="37" spans="1:9" x14ac:dyDescent="0.25">
      <c r="A37" s="46" t="s">
        <v>432</v>
      </c>
      <c r="C37" s="63" t="s">
        <v>433</v>
      </c>
      <c r="D37" s="52"/>
      <c r="E37" s="52"/>
      <c r="F37" s="52"/>
      <c r="G37" s="52"/>
      <c r="H37" s="52"/>
      <c r="I37" s="52"/>
    </row>
    <row r="38" spans="1:9" x14ac:dyDescent="0.25">
      <c r="A38" s="45" t="s">
        <v>434</v>
      </c>
      <c r="C38" s="62" t="s">
        <v>435</v>
      </c>
      <c r="D38" s="52"/>
      <c r="E38" s="52"/>
      <c r="F38" s="52"/>
      <c r="G38" s="52"/>
      <c r="H38" s="52"/>
      <c r="I38" s="52"/>
    </row>
    <row r="39" spans="1:9" x14ac:dyDescent="0.25">
      <c r="A39" s="46" t="s">
        <v>436</v>
      </c>
      <c r="C39" s="63" t="s">
        <v>437</v>
      </c>
      <c r="D39" s="52"/>
      <c r="E39" s="52"/>
      <c r="F39" s="52"/>
      <c r="G39" s="52"/>
      <c r="H39" s="52"/>
      <c r="I39" s="52"/>
    </row>
    <row r="40" spans="1:9" x14ac:dyDescent="0.25">
      <c r="A40" s="45" t="s">
        <v>438</v>
      </c>
      <c r="C40" s="62" t="s">
        <v>439</v>
      </c>
      <c r="D40" s="52"/>
      <c r="E40" s="52"/>
      <c r="F40" s="52"/>
      <c r="G40" s="52"/>
      <c r="H40" s="52"/>
      <c r="I40" s="52"/>
    </row>
    <row r="41" spans="1:9" x14ac:dyDescent="0.25">
      <c r="A41" s="46" t="s">
        <v>440</v>
      </c>
      <c r="C41" s="63" t="s">
        <v>441</v>
      </c>
      <c r="D41" s="52"/>
      <c r="E41" s="52"/>
      <c r="F41" s="52"/>
      <c r="G41" s="52"/>
      <c r="H41" s="52"/>
      <c r="I41" s="52"/>
    </row>
    <row r="42" spans="1:9" x14ac:dyDescent="0.25">
      <c r="A42" s="45" t="s">
        <v>442</v>
      </c>
      <c r="C42" s="62" t="s">
        <v>443</v>
      </c>
      <c r="D42" s="52"/>
      <c r="E42" s="52"/>
      <c r="F42" s="52"/>
      <c r="G42" s="52"/>
      <c r="H42" s="52"/>
      <c r="I42" s="52"/>
    </row>
    <row r="43" spans="1:9" x14ac:dyDescent="0.25">
      <c r="A43" s="46" t="s">
        <v>444</v>
      </c>
      <c r="C43" s="63" t="s">
        <v>445</v>
      </c>
      <c r="D43" s="52"/>
      <c r="E43" s="52"/>
      <c r="F43" s="52"/>
      <c r="G43" s="52"/>
      <c r="H43" s="52"/>
      <c r="I43" s="52"/>
    </row>
    <row r="44" spans="1:9" x14ac:dyDescent="0.25">
      <c r="A44" s="45" t="s">
        <v>446</v>
      </c>
      <c r="C44" s="62" t="s">
        <v>447</v>
      </c>
      <c r="D44" s="52"/>
      <c r="E44" s="52"/>
      <c r="F44" s="52"/>
      <c r="G44" s="52"/>
      <c r="H44" s="52"/>
      <c r="I44" s="52"/>
    </row>
    <row r="45" spans="1:9" x14ac:dyDescent="0.25">
      <c r="A45" s="46" t="s">
        <v>448</v>
      </c>
      <c r="C45" s="63" t="s">
        <v>449</v>
      </c>
      <c r="D45" s="52"/>
      <c r="E45" s="52"/>
      <c r="F45" s="52"/>
      <c r="G45" s="52"/>
      <c r="H45" s="52"/>
      <c r="I45" s="52"/>
    </row>
    <row r="46" spans="1:9" x14ac:dyDescent="0.25">
      <c r="A46" s="45" t="s">
        <v>450</v>
      </c>
      <c r="C46" s="62" t="s">
        <v>451</v>
      </c>
      <c r="D46" s="52"/>
      <c r="E46" s="52"/>
      <c r="F46" s="52"/>
      <c r="G46" s="52"/>
      <c r="H46" s="52"/>
      <c r="I46" s="52"/>
    </row>
    <row r="47" spans="1:9" x14ac:dyDescent="0.25">
      <c r="A47" s="46" t="s">
        <v>452</v>
      </c>
      <c r="C47" s="63" t="s">
        <v>453</v>
      </c>
      <c r="D47" s="52"/>
      <c r="E47" s="52"/>
      <c r="F47" s="52"/>
      <c r="G47" s="52"/>
      <c r="H47" s="52"/>
      <c r="I47" s="52"/>
    </row>
  </sheetData>
  <mergeCells count="18">
    <mergeCell ref="C47:I47"/>
    <mergeCell ref="C41:I41"/>
    <mergeCell ref="C37:I37"/>
    <mergeCell ref="A1:I1"/>
    <mergeCell ref="C34:I34"/>
    <mergeCell ref="C43:I43"/>
    <mergeCell ref="C46:I46"/>
    <mergeCell ref="C38:I38"/>
    <mergeCell ref="C42:I42"/>
    <mergeCell ref="C36:I36"/>
    <mergeCell ref="C45:I45"/>
    <mergeCell ref="C44:I44"/>
    <mergeCell ref="A2:I2"/>
    <mergeCell ref="A33:I33"/>
    <mergeCell ref="C40:I40"/>
    <mergeCell ref="C39:I39"/>
    <mergeCell ref="A14:I14"/>
    <mergeCell ref="C35:I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AE60"/>
  </sheetPr>
  <dimension ref="A1:M221"/>
  <sheetViews>
    <sheetView workbookViewId="0">
      <pane ySplit="2" topLeftCell="A3" activePane="bottomLeft" state="frozen"/>
      <selection pane="bottomLeft" sqref="A1:K1"/>
    </sheetView>
  </sheetViews>
  <sheetFormatPr defaultRowHeight="15" x14ac:dyDescent="0.25"/>
  <cols>
    <col min="1" max="1" width="12" style="37" customWidth="1"/>
    <col min="2" max="3" width="6" style="37" customWidth="1"/>
    <col min="4" max="4" width="16" style="37" customWidth="1"/>
    <col min="5" max="5" width="22" style="37" customWidth="1"/>
    <col min="6" max="6" width="46" style="37" customWidth="1"/>
    <col min="7" max="8" width="11" style="37" customWidth="1"/>
    <col min="9" max="9" width="13" style="37" customWidth="1"/>
    <col min="10" max="10" width="11" style="37" customWidth="1"/>
    <col min="11" max="12" width="28" style="37" customWidth="1"/>
    <col min="13" max="13" width="22" style="37" customWidth="1"/>
  </cols>
  <sheetData>
    <row r="1" spans="1:13" ht="32.1" customHeight="1" x14ac:dyDescent="0.25">
      <c r="A1" s="66" t="s">
        <v>454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3" x14ac:dyDescent="0.25">
      <c r="A2" s="1" t="s">
        <v>455</v>
      </c>
      <c r="B2" s="1" t="s">
        <v>126</v>
      </c>
      <c r="C2" s="1" t="s">
        <v>456</v>
      </c>
      <c r="D2" s="1" t="s">
        <v>1</v>
      </c>
      <c r="E2" s="1" t="s">
        <v>457</v>
      </c>
      <c r="F2" s="1" t="s">
        <v>458</v>
      </c>
      <c r="G2" s="1" t="s">
        <v>459</v>
      </c>
      <c r="H2" s="1" t="s">
        <v>460</v>
      </c>
      <c r="I2" s="1" t="s">
        <v>461</v>
      </c>
      <c r="J2" s="1" t="s">
        <v>462</v>
      </c>
      <c r="K2" s="1" t="s">
        <v>463</v>
      </c>
      <c r="L2" s="1" t="s">
        <v>464</v>
      </c>
      <c r="M2" s="1" t="s">
        <v>465</v>
      </c>
    </row>
    <row r="3" spans="1:13" x14ac:dyDescent="0.25">
      <c r="A3" s="26" t="s">
        <v>466</v>
      </c>
      <c r="B3" s="26">
        <v>1</v>
      </c>
      <c r="C3" s="26" t="s">
        <v>467</v>
      </c>
      <c r="D3" s="26" t="s">
        <v>468</v>
      </c>
      <c r="E3" s="26" t="s">
        <v>469</v>
      </c>
      <c r="F3" s="3" t="s">
        <v>470</v>
      </c>
      <c r="G3" s="26">
        <v>1.5</v>
      </c>
      <c r="H3" s="26">
        <v>1.5</v>
      </c>
      <c r="I3" s="26" t="s">
        <v>471</v>
      </c>
      <c r="J3" s="26">
        <v>0</v>
      </c>
      <c r="K3" s="26"/>
      <c r="L3" s="26"/>
      <c r="M3" s="26"/>
    </row>
    <row r="4" spans="1:13" x14ac:dyDescent="0.25">
      <c r="A4" s="27" t="s">
        <v>466</v>
      </c>
      <c r="B4" s="27">
        <v>1</v>
      </c>
      <c r="C4" s="27" t="s">
        <v>467</v>
      </c>
      <c r="D4" s="27" t="s">
        <v>468</v>
      </c>
      <c r="E4" s="27" t="s">
        <v>472</v>
      </c>
      <c r="F4" s="28" t="s">
        <v>473</v>
      </c>
      <c r="G4" s="27">
        <v>1.5</v>
      </c>
      <c r="H4" s="27">
        <v>1.5</v>
      </c>
      <c r="I4" s="27" t="s">
        <v>471</v>
      </c>
      <c r="J4" s="27">
        <v>0</v>
      </c>
      <c r="K4" s="27"/>
      <c r="L4" s="27"/>
      <c r="M4" s="27"/>
    </row>
    <row r="5" spans="1:13" x14ac:dyDescent="0.25">
      <c r="A5" s="26" t="s">
        <v>474</v>
      </c>
      <c r="B5" s="26">
        <v>1</v>
      </c>
      <c r="C5" s="26" t="s">
        <v>475</v>
      </c>
      <c r="D5" s="26" t="s">
        <v>476</v>
      </c>
      <c r="E5" s="26" t="s">
        <v>477</v>
      </c>
      <c r="F5" s="3" t="s">
        <v>478</v>
      </c>
      <c r="G5" s="26">
        <v>2</v>
      </c>
      <c r="H5" s="26">
        <v>2</v>
      </c>
      <c r="I5" s="26" t="s">
        <v>471</v>
      </c>
      <c r="J5" s="26">
        <v>0</v>
      </c>
      <c r="K5" s="26"/>
      <c r="L5" s="26"/>
      <c r="M5" s="26"/>
    </row>
    <row r="6" spans="1:13" x14ac:dyDescent="0.25">
      <c r="A6" s="27" t="s">
        <v>474</v>
      </c>
      <c r="B6" s="27">
        <v>1</v>
      </c>
      <c r="C6" s="27" t="s">
        <v>475</v>
      </c>
      <c r="D6" s="27" t="s">
        <v>479</v>
      </c>
      <c r="E6" s="27" t="s">
        <v>479</v>
      </c>
      <c r="F6" s="28" t="s">
        <v>480</v>
      </c>
      <c r="G6" s="27">
        <v>2</v>
      </c>
      <c r="H6" s="27">
        <v>2</v>
      </c>
      <c r="I6" s="27" t="s">
        <v>471</v>
      </c>
      <c r="J6" s="27">
        <v>0</v>
      </c>
      <c r="K6" s="27"/>
      <c r="L6" s="27"/>
      <c r="M6" s="27"/>
    </row>
    <row r="7" spans="1:13" x14ac:dyDescent="0.25">
      <c r="A7" s="26" t="s">
        <v>481</v>
      </c>
      <c r="B7" s="26">
        <v>1</v>
      </c>
      <c r="C7" s="26" t="s">
        <v>482</v>
      </c>
      <c r="D7" s="26" t="s">
        <v>468</v>
      </c>
      <c r="E7" s="26" t="s">
        <v>483</v>
      </c>
      <c r="F7" s="3" t="s">
        <v>484</v>
      </c>
      <c r="G7" s="26">
        <v>1</v>
      </c>
      <c r="H7" s="26">
        <v>1</v>
      </c>
      <c r="I7" s="26" t="s">
        <v>471</v>
      </c>
      <c r="J7" s="26">
        <v>0</v>
      </c>
      <c r="K7" s="26"/>
      <c r="L7" s="26"/>
      <c r="M7" s="26"/>
    </row>
    <row r="8" spans="1:13" x14ac:dyDescent="0.25">
      <c r="A8" s="27" t="s">
        <v>485</v>
      </c>
      <c r="B8" s="27">
        <v>1</v>
      </c>
      <c r="C8" s="27" t="s">
        <v>486</v>
      </c>
      <c r="D8" s="27" t="s">
        <v>468</v>
      </c>
      <c r="E8" s="27" t="s">
        <v>487</v>
      </c>
      <c r="F8" s="28" t="s">
        <v>488</v>
      </c>
      <c r="G8" s="27">
        <v>1.5</v>
      </c>
      <c r="H8" s="27"/>
      <c r="I8" s="27" t="s">
        <v>471</v>
      </c>
      <c r="J8" s="27">
        <v>0</v>
      </c>
      <c r="K8" s="27"/>
      <c r="L8" s="27"/>
      <c r="M8" s="27"/>
    </row>
    <row r="9" spans="1:13" x14ac:dyDescent="0.25">
      <c r="A9" s="26" t="s">
        <v>485</v>
      </c>
      <c r="B9" s="26">
        <v>1</v>
      </c>
      <c r="C9" s="26" t="s">
        <v>486</v>
      </c>
      <c r="D9" s="26" t="s">
        <v>468</v>
      </c>
      <c r="E9" s="26" t="s">
        <v>489</v>
      </c>
      <c r="F9" s="3" t="s">
        <v>490</v>
      </c>
      <c r="G9" s="26">
        <v>1.5</v>
      </c>
      <c r="H9" s="26"/>
      <c r="I9" s="26" t="s">
        <v>471</v>
      </c>
      <c r="J9" s="26">
        <v>0</v>
      </c>
      <c r="K9" s="26"/>
      <c r="L9" s="26"/>
      <c r="M9" s="26"/>
    </row>
    <row r="10" spans="1:13" ht="24" customHeight="1" x14ac:dyDescent="0.25">
      <c r="A10" s="27" t="s">
        <v>491</v>
      </c>
      <c r="B10" s="27">
        <v>1</v>
      </c>
      <c r="C10" s="27" t="s">
        <v>492</v>
      </c>
      <c r="D10" s="27" t="s">
        <v>476</v>
      </c>
      <c r="E10" s="27" t="s">
        <v>493</v>
      </c>
      <c r="F10" s="28" t="s">
        <v>494</v>
      </c>
      <c r="G10" s="27">
        <v>1.5</v>
      </c>
      <c r="H10" s="27"/>
      <c r="I10" s="27" t="s">
        <v>471</v>
      </c>
      <c r="J10" s="27">
        <v>0</v>
      </c>
      <c r="K10" s="27"/>
      <c r="L10" s="27"/>
      <c r="M10" s="27"/>
    </row>
    <row r="11" spans="1:13" x14ac:dyDescent="0.25">
      <c r="A11" s="26" t="s">
        <v>491</v>
      </c>
      <c r="B11" s="26">
        <v>1</v>
      </c>
      <c r="C11" s="26" t="s">
        <v>492</v>
      </c>
      <c r="D11" s="26" t="s">
        <v>479</v>
      </c>
      <c r="E11" s="26" t="s">
        <v>495</v>
      </c>
      <c r="F11" s="3" t="s">
        <v>496</v>
      </c>
      <c r="G11" s="26">
        <v>1.5</v>
      </c>
      <c r="H11" s="26"/>
      <c r="I11" s="26" t="s">
        <v>471</v>
      </c>
      <c r="J11" s="26">
        <v>0</v>
      </c>
      <c r="K11" s="26"/>
      <c r="L11" s="26"/>
      <c r="M11" s="26"/>
    </row>
    <row r="12" spans="1:13" x14ac:dyDescent="0.25">
      <c r="A12" s="27" t="s">
        <v>497</v>
      </c>
      <c r="B12" s="27">
        <v>1</v>
      </c>
      <c r="C12" s="27" t="s">
        <v>498</v>
      </c>
      <c r="D12" s="27" t="s">
        <v>479</v>
      </c>
      <c r="E12" s="27" t="s">
        <v>499</v>
      </c>
      <c r="F12" s="28" t="s">
        <v>500</v>
      </c>
      <c r="G12" s="27">
        <v>1.5</v>
      </c>
      <c r="H12" s="27"/>
      <c r="I12" s="27" t="s">
        <v>471</v>
      </c>
      <c r="J12" s="27">
        <v>0</v>
      </c>
      <c r="K12" s="27"/>
      <c r="L12" s="27"/>
      <c r="M12" s="27"/>
    </row>
    <row r="13" spans="1:13" x14ac:dyDescent="0.25">
      <c r="A13" s="26" t="s">
        <v>497</v>
      </c>
      <c r="B13" s="26">
        <v>1</v>
      </c>
      <c r="C13" s="26" t="s">
        <v>498</v>
      </c>
      <c r="D13" s="26" t="s">
        <v>501</v>
      </c>
      <c r="E13" s="26" t="s">
        <v>502</v>
      </c>
      <c r="F13" s="3" t="s">
        <v>503</v>
      </c>
      <c r="G13" s="26">
        <v>1.5</v>
      </c>
      <c r="H13" s="26"/>
      <c r="I13" s="26" t="s">
        <v>471</v>
      </c>
      <c r="J13" s="26">
        <v>0</v>
      </c>
      <c r="K13" s="26"/>
      <c r="L13" s="26"/>
      <c r="M13" s="26"/>
    </row>
    <row r="14" spans="1:13" x14ac:dyDescent="0.25">
      <c r="A14" s="27" t="s">
        <v>504</v>
      </c>
      <c r="B14" s="27">
        <v>1</v>
      </c>
      <c r="C14" s="27" t="s">
        <v>505</v>
      </c>
      <c r="D14" s="27" t="s">
        <v>501</v>
      </c>
      <c r="E14" s="27" t="s">
        <v>506</v>
      </c>
      <c r="F14" s="28" t="s">
        <v>507</v>
      </c>
      <c r="G14" s="27">
        <v>2</v>
      </c>
      <c r="H14" s="27"/>
      <c r="I14" s="27" t="s">
        <v>471</v>
      </c>
      <c r="J14" s="27">
        <v>0</v>
      </c>
      <c r="K14" s="27"/>
      <c r="L14" s="27"/>
      <c r="M14" s="27"/>
    </row>
    <row r="15" spans="1:13" x14ac:dyDescent="0.25">
      <c r="A15" s="26" t="s">
        <v>504</v>
      </c>
      <c r="B15" s="26">
        <v>1</v>
      </c>
      <c r="C15" s="26" t="s">
        <v>505</v>
      </c>
      <c r="D15" s="26" t="s">
        <v>508</v>
      </c>
      <c r="E15" s="26" t="s">
        <v>509</v>
      </c>
      <c r="F15" s="3" t="s">
        <v>510</v>
      </c>
      <c r="G15" s="26">
        <v>1</v>
      </c>
      <c r="H15" s="26"/>
      <c r="I15" s="26" t="s">
        <v>471</v>
      </c>
      <c r="J15" s="26">
        <v>0</v>
      </c>
      <c r="K15" s="26"/>
      <c r="L15" s="26"/>
      <c r="M15" s="26"/>
    </row>
    <row r="16" spans="1:13" ht="24" customHeight="1" x14ac:dyDescent="0.25">
      <c r="A16" s="27" t="s">
        <v>511</v>
      </c>
      <c r="B16" s="27">
        <v>2</v>
      </c>
      <c r="C16" s="27" t="s">
        <v>467</v>
      </c>
      <c r="D16" s="27" t="s">
        <v>501</v>
      </c>
      <c r="E16" s="27" t="s">
        <v>512</v>
      </c>
      <c r="F16" s="28" t="s">
        <v>513</v>
      </c>
      <c r="G16" s="27">
        <v>1.5</v>
      </c>
      <c r="H16" s="27"/>
      <c r="I16" s="27" t="s">
        <v>471</v>
      </c>
      <c r="J16" s="27">
        <v>0</v>
      </c>
      <c r="K16" s="27"/>
      <c r="L16" s="27"/>
      <c r="M16" s="27"/>
    </row>
    <row r="17" spans="1:13" x14ac:dyDescent="0.25">
      <c r="A17" s="26" t="s">
        <v>511</v>
      </c>
      <c r="B17" s="26">
        <v>2</v>
      </c>
      <c r="C17" s="26" t="s">
        <v>467</v>
      </c>
      <c r="D17" s="26" t="s">
        <v>501</v>
      </c>
      <c r="E17" s="26" t="s">
        <v>514</v>
      </c>
      <c r="F17" s="3" t="s">
        <v>515</v>
      </c>
      <c r="G17" s="26">
        <v>1.5</v>
      </c>
      <c r="H17" s="26"/>
      <c r="I17" s="26" t="s">
        <v>471</v>
      </c>
      <c r="J17" s="26">
        <v>0</v>
      </c>
      <c r="K17" s="26"/>
      <c r="L17" s="26"/>
      <c r="M17" s="26"/>
    </row>
    <row r="18" spans="1:13" x14ac:dyDescent="0.25">
      <c r="A18" s="27" t="s">
        <v>516</v>
      </c>
      <c r="B18" s="27">
        <v>2</v>
      </c>
      <c r="C18" s="27" t="s">
        <v>475</v>
      </c>
      <c r="D18" s="27" t="s">
        <v>501</v>
      </c>
      <c r="E18" s="27" t="s">
        <v>517</v>
      </c>
      <c r="F18" s="28" t="s">
        <v>518</v>
      </c>
      <c r="G18" s="27">
        <v>2</v>
      </c>
      <c r="H18" s="27"/>
      <c r="I18" s="27" t="s">
        <v>471</v>
      </c>
      <c r="J18" s="27">
        <v>0</v>
      </c>
      <c r="K18" s="27"/>
      <c r="L18" s="27"/>
      <c r="M18" s="27"/>
    </row>
    <row r="19" spans="1:13" ht="24" customHeight="1" x14ac:dyDescent="0.25">
      <c r="A19" s="26" t="s">
        <v>516</v>
      </c>
      <c r="B19" s="26">
        <v>2</v>
      </c>
      <c r="C19" s="26" t="s">
        <v>475</v>
      </c>
      <c r="D19" s="26" t="s">
        <v>501</v>
      </c>
      <c r="E19" s="26" t="s">
        <v>519</v>
      </c>
      <c r="F19" s="3" t="s">
        <v>520</v>
      </c>
      <c r="G19" s="26">
        <v>2</v>
      </c>
      <c r="H19" s="26"/>
      <c r="I19" s="26" t="s">
        <v>471</v>
      </c>
      <c r="J19" s="26">
        <v>0</v>
      </c>
      <c r="K19" s="26"/>
      <c r="L19" s="26"/>
      <c r="M19" s="26"/>
    </row>
    <row r="20" spans="1:13" x14ac:dyDescent="0.25">
      <c r="A20" s="27" t="s">
        <v>521</v>
      </c>
      <c r="B20" s="27">
        <v>2</v>
      </c>
      <c r="C20" s="27" t="s">
        <v>482</v>
      </c>
      <c r="D20" s="27" t="s">
        <v>501</v>
      </c>
      <c r="E20" s="27" t="s">
        <v>522</v>
      </c>
      <c r="F20" s="28" t="s">
        <v>523</v>
      </c>
      <c r="G20" s="27">
        <v>1.5</v>
      </c>
      <c r="H20" s="27"/>
      <c r="I20" s="27" t="s">
        <v>471</v>
      </c>
      <c r="J20" s="27">
        <v>0</v>
      </c>
      <c r="K20" s="27"/>
      <c r="L20" s="27"/>
      <c r="M20" s="27"/>
    </row>
    <row r="21" spans="1:13" x14ac:dyDescent="0.25">
      <c r="A21" s="26" t="s">
        <v>524</v>
      </c>
      <c r="B21" s="26">
        <v>2</v>
      </c>
      <c r="C21" s="26" t="s">
        <v>486</v>
      </c>
      <c r="D21" s="26" t="s">
        <v>501</v>
      </c>
      <c r="E21" s="26" t="s">
        <v>525</v>
      </c>
      <c r="F21" s="3" t="s">
        <v>526</v>
      </c>
      <c r="G21" s="26">
        <v>1.5</v>
      </c>
      <c r="H21" s="26"/>
      <c r="I21" s="26" t="s">
        <v>471</v>
      </c>
      <c r="J21" s="26">
        <v>0</v>
      </c>
      <c r="K21" s="26"/>
      <c r="L21" s="26"/>
      <c r="M21" s="26"/>
    </row>
    <row r="22" spans="1:13" x14ac:dyDescent="0.25">
      <c r="A22" s="27" t="s">
        <v>524</v>
      </c>
      <c r="B22" s="27">
        <v>2</v>
      </c>
      <c r="C22" s="27" t="s">
        <v>486</v>
      </c>
      <c r="D22" s="27" t="s">
        <v>501</v>
      </c>
      <c r="E22" s="27" t="s">
        <v>506</v>
      </c>
      <c r="F22" s="28" t="s">
        <v>527</v>
      </c>
      <c r="G22" s="27">
        <v>1.5</v>
      </c>
      <c r="H22" s="27"/>
      <c r="I22" s="27" t="s">
        <v>471</v>
      </c>
      <c r="J22" s="27">
        <v>0</v>
      </c>
      <c r="K22" s="27"/>
      <c r="L22" s="27"/>
      <c r="M22" s="27"/>
    </row>
    <row r="23" spans="1:13" x14ac:dyDescent="0.25">
      <c r="A23" s="26" t="s">
        <v>528</v>
      </c>
      <c r="B23" s="26">
        <v>2</v>
      </c>
      <c r="C23" s="26" t="s">
        <v>492</v>
      </c>
      <c r="D23" s="26" t="s">
        <v>501</v>
      </c>
      <c r="E23" s="26" t="s">
        <v>529</v>
      </c>
      <c r="F23" s="3" t="s">
        <v>530</v>
      </c>
      <c r="G23" s="26">
        <v>1.5</v>
      </c>
      <c r="H23" s="26"/>
      <c r="I23" s="26" t="s">
        <v>471</v>
      </c>
      <c r="J23" s="26">
        <v>0</v>
      </c>
      <c r="K23" s="26"/>
      <c r="L23" s="26"/>
      <c r="M23" s="26"/>
    </row>
    <row r="24" spans="1:13" ht="24" customHeight="1" x14ac:dyDescent="0.25">
      <c r="A24" s="27" t="s">
        <v>528</v>
      </c>
      <c r="B24" s="27">
        <v>2</v>
      </c>
      <c r="C24" s="27" t="s">
        <v>492</v>
      </c>
      <c r="D24" s="27" t="s">
        <v>501</v>
      </c>
      <c r="E24" s="27" t="s">
        <v>514</v>
      </c>
      <c r="F24" s="28" t="s">
        <v>531</v>
      </c>
      <c r="G24" s="27">
        <v>1.5</v>
      </c>
      <c r="H24" s="27"/>
      <c r="I24" s="27" t="s">
        <v>471</v>
      </c>
      <c r="J24" s="27">
        <v>0</v>
      </c>
      <c r="K24" s="27"/>
      <c r="L24" s="27"/>
      <c r="M24" s="27"/>
    </row>
    <row r="25" spans="1:13" x14ac:dyDescent="0.25">
      <c r="A25" s="26" t="s">
        <v>532</v>
      </c>
      <c r="B25" s="26">
        <v>2</v>
      </c>
      <c r="C25" s="26" t="s">
        <v>498</v>
      </c>
      <c r="D25" s="26" t="s">
        <v>501</v>
      </c>
      <c r="E25" s="26" t="s">
        <v>533</v>
      </c>
      <c r="F25" s="3" t="s">
        <v>534</v>
      </c>
      <c r="G25" s="26">
        <v>1.5</v>
      </c>
      <c r="H25" s="26"/>
      <c r="I25" s="26" t="s">
        <v>471</v>
      </c>
      <c r="J25" s="26">
        <v>0</v>
      </c>
      <c r="K25" s="26"/>
      <c r="L25" s="26"/>
      <c r="M25" s="26"/>
    </row>
    <row r="26" spans="1:13" x14ac:dyDescent="0.25">
      <c r="A26" s="27" t="s">
        <v>532</v>
      </c>
      <c r="B26" s="27">
        <v>2</v>
      </c>
      <c r="C26" s="27" t="s">
        <v>498</v>
      </c>
      <c r="D26" s="27" t="s">
        <v>508</v>
      </c>
      <c r="E26" s="27" t="s">
        <v>288</v>
      </c>
      <c r="F26" s="28" t="s">
        <v>535</v>
      </c>
      <c r="G26" s="27">
        <v>1.5</v>
      </c>
      <c r="H26" s="27"/>
      <c r="I26" s="27" t="s">
        <v>471</v>
      </c>
      <c r="J26" s="27">
        <v>0</v>
      </c>
      <c r="K26" s="27"/>
      <c r="L26" s="27"/>
      <c r="M26" s="27"/>
    </row>
    <row r="27" spans="1:13" x14ac:dyDescent="0.25">
      <c r="A27" s="26" t="s">
        <v>536</v>
      </c>
      <c r="B27" s="26">
        <v>2</v>
      </c>
      <c r="C27" s="26" t="s">
        <v>505</v>
      </c>
      <c r="D27" s="26" t="s">
        <v>501</v>
      </c>
      <c r="E27" s="26" t="s">
        <v>537</v>
      </c>
      <c r="F27" s="3" t="s">
        <v>538</v>
      </c>
      <c r="G27" s="26">
        <v>2</v>
      </c>
      <c r="H27" s="26"/>
      <c r="I27" s="26" t="s">
        <v>471</v>
      </c>
      <c r="J27" s="26">
        <v>0</v>
      </c>
      <c r="K27" s="26"/>
      <c r="L27" s="26"/>
      <c r="M27" s="26"/>
    </row>
    <row r="28" spans="1:13" x14ac:dyDescent="0.25">
      <c r="A28" s="27" t="s">
        <v>539</v>
      </c>
      <c r="B28" s="27">
        <v>3</v>
      </c>
      <c r="C28" s="27" t="s">
        <v>467</v>
      </c>
      <c r="D28" s="27" t="s">
        <v>540</v>
      </c>
      <c r="E28" s="27" t="s">
        <v>541</v>
      </c>
      <c r="F28" s="28" t="s">
        <v>542</v>
      </c>
      <c r="G28" s="27">
        <v>1.5</v>
      </c>
      <c r="H28" s="27"/>
      <c r="I28" s="27" t="s">
        <v>471</v>
      </c>
      <c r="J28" s="27">
        <v>0</v>
      </c>
      <c r="K28" s="27"/>
      <c r="L28" s="27"/>
      <c r="M28" s="27"/>
    </row>
    <row r="29" spans="1:13" x14ac:dyDescent="0.25">
      <c r="A29" s="26" t="s">
        <v>539</v>
      </c>
      <c r="B29" s="26">
        <v>3</v>
      </c>
      <c r="C29" s="26" t="s">
        <v>467</v>
      </c>
      <c r="D29" s="26" t="s">
        <v>540</v>
      </c>
      <c r="E29" s="26" t="s">
        <v>543</v>
      </c>
      <c r="F29" s="3" t="s">
        <v>544</v>
      </c>
      <c r="G29" s="26">
        <v>1.5</v>
      </c>
      <c r="H29" s="26"/>
      <c r="I29" s="26" t="s">
        <v>471</v>
      </c>
      <c r="J29" s="26">
        <v>0</v>
      </c>
      <c r="K29" s="26"/>
      <c r="L29" s="26"/>
      <c r="M29" s="26"/>
    </row>
    <row r="30" spans="1:13" x14ac:dyDescent="0.25">
      <c r="A30" s="27" t="s">
        <v>545</v>
      </c>
      <c r="B30" s="27">
        <v>3</v>
      </c>
      <c r="C30" s="27" t="s">
        <v>475</v>
      </c>
      <c r="D30" s="27" t="s">
        <v>540</v>
      </c>
      <c r="E30" s="27" t="s">
        <v>546</v>
      </c>
      <c r="F30" s="28" t="s">
        <v>547</v>
      </c>
      <c r="G30" s="27">
        <v>2</v>
      </c>
      <c r="H30" s="27"/>
      <c r="I30" s="27" t="s">
        <v>471</v>
      </c>
      <c r="J30" s="27">
        <v>0</v>
      </c>
      <c r="K30" s="27"/>
      <c r="L30" s="27"/>
      <c r="M30" s="27"/>
    </row>
    <row r="31" spans="1:13" ht="24" customHeight="1" x14ac:dyDescent="0.25">
      <c r="A31" s="26" t="s">
        <v>545</v>
      </c>
      <c r="B31" s="26">
        <v>3</v>
      </c>
      <c r="C31" s="26" t="s">
        <v>475</v>
      </c>
      <c r="D31" s="26" t="s">
        <v>540</v>
      </c>
      <c r="E31" s="26" t="s">
        <v>548</v>
      </c>
      <c r="F31" s="3" t="s">
        <v>549</v>
      </c>
      <c r="G31" s="26">
        <v>2</v>
      </c>
      <c r="H31" s="26"/>
      <c r="I31" s="26" t="s">
        <v>471</v>
      </c>
      <c r="J31" s="26">
        <v>0</v>
      </c>
      <c r="K31" s="26"/>
      <c r="L31" s="26"/>
      <c r="M31" s="26"/>
    </row>
    <row r="32" spans="1:13" x14ac:dyDescent="0.25">
      <c r="A32" s="27" t="s">
        <v>88</v>
      </c>
      <c r="B32" s="27">
        <v>3</v>
      </c>
      <c r="C32" s="27" t="s">
        <v>482</v>
      </c>
      <c r="D32" s="27" t="s">
        <v>540</v>
      </c>
      <c r="E32" s="27" t="s">
        <v>550</v>
      </c>
      <c r="F32" s="28" t="s">
        <v>551</v>
      </c>
      <c r="G32" s="27">
        <v>1.5</v>
      </c>
      <c r="H32" s="27"/>
      <c r="I32" s="27" t="s">
        <v>471</v>
      </c>
      <c r="J32" s="27">
        <v>0</v>
      </c>
      <c r="K32" s="27"/>
      <c r="L32" s="27"/>
      <c r="M32" s="27"/>
    </row>
    <row r="33" spans="1:13" ht="24" customHeight="1" x14ac:dyDescent="0.25">
      <c r="A33" s="26" t="s">
        <v>552</v>
      </c>
      <c r="B33" s="26">
        <v>3</v>
      </c>
      <c r="C33" s="26" t="s">
        <v>486</v>
      </c>
      <c r="D33" s="26" t="s">
        <v>540</v>
      </c>
      <c r="E33" s="26" t="s">
        <v>553</v>
      </c>
      <c r="F33" s="3" t="s">
        <v>554</v>
      </c>
      <c r="G33" s="26">
        <v>1.5</v>
      </c>
      <c r="H33" s="26"/>
      <c r="I33" s="26" t="s">
        <v>471</v>
      </c>
      <c r="J33" s="26">
        <v>0</v>
      </c>
      <c r="K33" s="26"/>
      <c r="L33" s="26"/>
      <c r="M33" s="26"/>
    </row>
    <row r="34" spans="1:13" x14ac:dyDescent="0.25">
      <c r="A34" s="27" t="s">
        <v>552</v>
      </c>
      <c r="B34" s="27">
        <v>3</v>
      </c>
      <c r="C34" s="27" t="s">
        <v>486</v>
      </c>
      <c r="D34" s="27" t="s">
        <v>540</v>
      </c>
      <c r="E34" s="27" t="s">
        <v>555</v>
      </c>
      <c r="F34" s="28" t="s">
        <v>556</v>
      </c>
      <c r="G34" s="27">
        <v>1.5</v>
      </c>
      <c r="H34" s="27"/>
      <c r="I34" s="27" t="s">
        <v>471</v>
      </c>
      <c r="J34" s="27">
        <v>0</v>
      </c>
      <c r="K34" s="27"/>
      <c r="L34" s="27"/>
      <c r="M34" s="27"/>
    </row>
    <row r="35" spans="1:13" x14ac:dyDescent="0.25">
      <c r="A35" s="26" t="s">
        <v>557</v>
      </c>
      <c r="B35" s="26">
        <v>3</v>
      </c>
      <c r="C35" s="26" t="s">
        <v>492</v>
      </c>
      <c r="D35" s="26" t="s">
        <v>540</v>
      </c>
      <c r="E35" s="26" t="s">
        <v>558</v>
      </c>
      <c r="F35" s="3" t="s">
        <v>559</v>
      </c>
      <c r="G35" s="26">
        <v>1.5</v>
      </c>
      <c r="H35" s="26"/>
      <c r="I35" s="26" t="s">
        <v>471</v>
      </c>
      <c r="J35" s="26">
        <v>0</v>
      </c>
      <c r="K35" s="26"/>
      <c r="L35" s="26"/>
      <c r="M35" s="26"/>
    </row>
    <row r="36" spans="1:13" x14ac:dyDescent="0.25">
      <c r="A36" s="27" t="s">
        <v>557</v>
      </c>
      <c r="B36" s="27">
        <v>3</v>
      </c>
      <c r="C36" s="27" t="s">
        <v>492</v>
      </c>
      <c r="D36" s="27" t="s">
        <v>540</v>
      </c>
      <c r="E36" s="27" t="s">
        <v>543</v>
      </c>
      <c r="F36" s="28" t="s">
        <v>560</v>
      </c>
      <c r="G36" s="27">
        <v>1.5</v>
      </c>
      <c r="H36" s="27"/>
      <c r="I36" s="27" t="s">
        <v>471</v>
      </c>
      <c r="J36" s="27">
        <v>0</v>
      </c>
      <c r="K36" s="27"/>
      <c r="L36" s="27"/>
      <c r="M36" s="27"/>
    </row>
    <row r="37" spans="1:13" x14ac:dyDescent="0.25">
      <c r="A37" s="26" t="s">
        <v>561</v>
      </c>
      <c r="B37" s="26">
        <v>3</v>
      </c>
      <c r="C37" s="26" t="s">
        <v>498</v>
      </c>
      <c r="D37" s="26" t="s">
        <v>540</v>
      </c>
      <c r="E37" s="26" t="s">
        <v>562</v>
      </c>
      <c r="F37" s="3" t="s">
        <v>563</v>
      </c>
      <c r="G37" s="26">
        <v>1.5</v>
      </c>
      <c r="H37" s="26"/>
      <c r="I37" s="26" t="s">
        <v>471</v>
      </c>
      <c r="J37" s="26">
        <v>0</v>
      </c>
      <c r="K37" s="26"/>
      <c r="L37" s="26"/>
      <c r="M37" s="26"/>
    </row>
    <row r="38" spans="1:13" x14ac:dyDescent="0.25">
      <c r="A38" s="27" t="s">
        <v>561</v>
      </c>
      <c r="B38" s="27">
        <v>3</v>
      </c>
      <c r="C38" s="27" t="s">
        <v>498</v>
      </c>
      <c r="D38" s="27" t="s">
        <v>508</v>
      </c>
      <c r="E38" s="27" t="s">
        <v>289</v>
      </c>
      <c r="F38" s="28" t="s">
        <v>564</v>
      </c>
      <c r="G38" s="27">
        <v>1.5</v>
      </c>
      <c r="H38" s="27"/>
      <c r="I38" s="27" t="s">
        <v>471</v>
      </c>
      <c r="J38" s="27">
        <v>0</v>
      </c>
      <c r="K38" s="27"/>
      <c r="L38" s="27"/>
      <c r="M38" s="27"/>
    </row>
    <row r="39" spans="1:13" x14ac:dyDescent="0.25">
      <c r="A39" s="26" t="s">
        <v>565</v>
      </c>
      <c r="B39" s="26">
        <v>3</v>
      </c>
      <c r="C39" s="26" t="s">
        <v>505</v>
      </c>
      <c r="D39" s="26" t="s">
        <v>540</v>
      </c>
      <c r="E39" s="26" t="s">
        <v>566</v>
      </c>
      <c r="F39" s="3" t="s">
        <v>567</v>
      </c>
      <c r="G39" s="26">
        <v>2</v>
      </c>
      <c r="H39" s="26"/>
      <c r="I39" s="26" t="s">
        <v>471</v>
      </c>
      <c r="J39" s="26">
        <v>0</v>
      </c>
      <c r="K39" s="26"/>
      <c r="L39" s="26"/>
      <c r="M39" s="26"/>
    </row>
    <row r="40" spans="1:13" x14ac:dyDescent="0.25">
      <c r="A40" s="27" t="s">
        <v>568</v>
      </c>
      <c r="B40" s="27">
        <v>4</v>
      </c>
      <c r="C40" s="27" t="s">
        <v>467</v>
      </c>
      <c r="D40" s="27" t="s">
        <v>569</v>
      </c>
      <c r="E40" s="27" t="s">
        <v>570</v>
      </c>
      <c r="F40" s="28" t="s">
        <v>571</v>
      </c>
      <c r="G40" s="27">
        <v>1.5</v>
      </c>
      <c r="H40" s="27"/>
      <c r="I40" s="27" t="s">
        <v>471</v>
      </c>
      <c r="J40" s="27">
        <v>0</v>
      </c>
      <c r="K40" s="27"/>
      <c r="L40" s="27"/>
      <c r="M40" s="27"/>
    </row>
    <row r="41" spans="1:13" x14ac:dyDescent="0.25">
      <c r="A41" s="26" t="s">
        <v>568</v>
      </c>
      <c r="B41" s="26">
        <v>4</v>
      </c>
      <c r="C41" s="26" t="s">
        <v>467</v>
      </c>
      <c r="D41" s="26" t="s">
        <v>569</v>
      </c>
      <c r="E41" s="26" t="s">
        <v>572</v>
      </c>
      <c r="F41" s="3" t="s">
        <v>573</v>
      </c>
      <c r="G41" s="26">
        <v>1.5</v>
      </c>
      <c r="H41" s="26"/>
      <c r="I41" s="26" t="s">
        <v>471</v>
      </c>
      <c r="J41" s="26">
        <v>0</v>
      </c>
      <c r="K41" s="26"/>
      <c r="L41" s="26"/>
      <c r="M41" s="26"/>
    </row>
    <row r="42" spans="1:13" x14ac:dyDescent="0.25">
      <c r="A42" s="27" t="s">
        <v>574</v>
      </c>
      <c r="B42" s="27">
        <v>4</v>
      </c>
      <c r="C42" s="27" t="s">
        <v>475</v>
      </c>
      <c r="D42" s="27" t="s">
        <v>569</v>
      </c>
      <c r="E42" s="27" t="s">
        <v>575</v>
      </c>
      <c r="F42" s="28" t="s">
        <v>576</v>
      </c>
      <c r="G42" s="27">
        <v>2</v>
      </c>
      <c r="H42" s="27"/>
      <c r="I42" s="27" t="s">
        <v>471</v>
      </c>
      <c r="J42" s="27">
        <v>0</v>
      </c>
      <c r="K42" s="27"/>
      <c r="L42" s="27"/>
      <c r="M42" s="27"/>
    </row>
    <row r="43" spans="1:13" x14ac:dyDescent="0.25">
      <c r="A43" s="26" t="s">
        <v>574</v>
      </c>
      <c r="B43" s="26">
        <v>4</v>
      </c>
      <c r="C43" s="26" t="s">
        <v>475</v>
      </c>
      <c r="D43" s="26" t="s">
        <v>569</v>
      </c>
      <c r="E43" s="26" t="s">
        <v>577</v>
      </c>
      <c r="F43" s="3" t="s">
        <v>578</v>
      </c>
      <c r="G43" s="26">
        <v>2</v>
      </c>
      <c r="H43" s="26"/>
      <c r="I43" s="26" t="s">
        <v>471</v>
      </c>
      <c r="J43" s="26">
        <v>0</v>
      </c>
      <c r="K43" s="26"/>
      <c r="L43" s="26"/>
      <c r="M43" s="26"/>
    </row>
    <row r="44" spans="1:13" x14ac:dyDescent="0.25">
      <c r="A44" s="27" t="s">
        <v>579</v>
      </c>
      <c r="B44" s="27">
        <v>4</v>
      </c>
      <c r="C44" s="27" t="s">
        <v>482</v>
      </c>
      <c r="D44" s="27" t="s">
        <v>569</v>
      </c>
      <c r="E44" s="27" t="s">
        <v>522</v>
      </c>
      <c r="F44" s="28" t="s">
        <v>580</v>
      </c>
      <c r="G44" s="27">
        <v>1.5</v>
      </c>
      <c r="H44" s="27"/>
      <c r="I44" s="27" t="s">
        <v>471</v>
      </c>
      <c r="J44" s="27">
        <v>0</v>
      </c>
      <c r="K44" s="27"/>
      <c r="L44" s="27"/>
      <c r="M44" s="27"/>
    </row>
    <row r="45" spans="1:13" x14ac:dyDescent="0.25">
      <c r="A45" s="26" t="s">
        <v>581</v>
      </c>
      <c r="B45" s="26">
        <v>4</v>
      </c>
      <c r="C45" s="26" t="s">
        <v>486</v>
      </c>
      <c r="D45" s="26" t="s">
        <v>569</v>
      </c>
      <c r="E45" s="26" t="s">
        <v>582</v>
      </c>
      <c r="F45" s="3" t="s">
        <v>583</v>
      </c>
      <c r="G45" s="26">
        <v>1.5</v>
      </c>
      <c r="H45" s="26"/>
      <c r="I45" s="26" t="s">
        <v>471</v>
      </c>
      <c r="J45" s="26">
        <v>0</v>
      </c>
      <c r="K45" s="26"/>
      <c r="L45" s="26"/>
      <c r="M45" s="26"/>
    </row>
    <row r="46" spans="1:13" x14ac:dyDescent="0.25">
      <c r="A46" s="27" t="s">
        <v>581</v>
      </c>
      <c r="B46" s="27">
        <v>4</v>
      </c>
      <c r="C46" s="27" t="s">
        <v>486</v>
      </c>
      <c r="D46" s="27" t="s">
        <v>569</v>
      </c>
      <c r="E46" s="27" t="s">
        <v>584</v>
      </c>
      <c r="F46" s="28" t="s">
        <v>585</v>
      </c>
      <c r="G46" s="27">
        <v>1.5</v>
      </c>
      <c r="H46" s="27"/>
      <c r="I46" s="27" t="s">
        <v>471</v>
      </c>
      <c r="J46" s="27">
        <v>0</v>
      </c>
      <c r="K46" s="27"/>
      <c r="L46" s="27"/>
      <c r="M46" s="27"/>
    </row>
    <row r="47" spans="1:13" x14ac:dyDescent="0.25">
      <c r="A47" s="26" t="s">
        <v>586</v>
      </c>
      <c r="B47" s="26">
        <v>4</v>
      </c>
      <c r="C47" s="26" t="s">
        <v>492</v>
      </c>
      <c r="D47" s="26" t="s">
        <v>569</v>
      </c>
      <c r="E47" s="26" t="s">
        <v>587</v>
      </c>
      <c r="F47" s="3" t="s">
        <v>588</v>
      </c>
      <c r="G47" s="26">
        <v>1.5</v>
      </c>
      <c r="H47" s="26"/>
      <c r="I47" s="26" t="s">
        <v>471</v>
      </c>
      <c r="J47" s="26">
        <v>0</v>
      </c>
      <c r="K47" s="26"/>
      <c r="L47" s="26"/>
      <c r="M47" s="26"/>
    </row>
    <row r="48" spans="1:13" x14ac:dyDescent="0.25">
      <c r="A48" s="27" t="s">
        <v>586</v>
      </c>
      <c r="B48" s="27">
        <v>4</v>
      </c>
      <c r="C48" s="27" t="s">
        <v>492</v>
      </c>
      <c r="D48" s="27" t="s">
        <v>569</v>
      </c>
      <c r="E48" s="27" t="s">
        <v>589</v>
      </c>
      <c r="F48" s="28" t="s">
        <v>590</v>
      </c>
      <c r="G48" s="27">
        <v>1.5</v>
      </c>
      <c r="H48" s="27"/>
      <c r="I48" s="27" t="s">
        <v>471</v>
      </c>
      <c r="J48" s="27">
        <v>0</v>
      </c>
      <c r="K48" s="27"/>
      <c r="L48" s="27"/>
      <c r="M48" s="27"/>
    </row>
    <row r="49" spans="1:13" x14ac:dyDescent="0.25">
      <c r="A49" s="26" t="s">
        <v>591</v>
      </c>
      <c r="B49" s="26">
        <v>4</v>
      </c>
      <c r="C49" s="26" t="s">
        <v>498</v>
      </c>
      <c r="D49" s="26" t="s">
        <v>569</v>
      </c>
      <c r="E49" s="26" t="s">
        <v>592</v>
      </c>
      <c r="F49" s="3" t="s">
        <v>593</v>
      </c>
      <c r="G49" s="26">
        <v>1.5</v>
      </c>
      <c r="H49" s="26"/>
      <c r="I49" s="26" t="s">
        <v>471</v>
      </c>
      <c r="J49" s="26">
        <v>0</v>
      </c>
      <c r="K49" s="26"/>
      <c r="L49" s="26"/>
      <c r="M49" s="26"/>
    </row>
    <row r="50" spans="1:13" x14ac:dyDescent="0.25">
      <c r="A50" s="27" t="s">
        <v>591</v>
      </c>
      <c r="B50" s="27">
        <v>4</v>
      </c>
      <c r="C50" s="27" t="s">
        <v>498</v>
      </c>
      <c r="D50" s="27" t="s">
        <v>508</v>
      </c>
      <c r="E50" s="27" t="s">
        <v>291</v>
      </c>
      <c r="F50" s="28" t="s">
        <v>594</v>
      </c>
      <c r="G50" s="27">
        <v>1.5</v>
      </c>
      <c r="H50" s="27"/>
      <c r="I50" s="27" t="s">
        <v>471</v>
      </c>
      <c r="J50" s="27">
        <v>0</v>
      </c>
      <c r="K50" s="27"/>
      <c r="L50" s="27"/>
      <c r="M50" s="27"/>
    </row>
    <row r="51" spans="1:13" ht="24" customHeight="1" x14ac:dyDescent="0.25">
      <c r="A51" s="26" t="s">
        <v>595</v>
      </c>
      <c r="B51" s="26">
        <v>4</v>
      </c>
      <c r="C51" s="26" t="s">
        <v>505</v>
      </c>
      <c r="D51" s="26" t="s">
        <v>569</v>
      </c>
      <c r="E51" s="26" t="s">
        <v>596</v>
      </c>
      <c r="F51" s="3" t="s">
        <v>597</v>
      </c>
      <c r="G51" s="26">
        <v>2</v>
      </c>
      <c r="H51" s="26"/>
      <c r="I51" s="26" t="s">
        <v>471</v>
      </c>
      <c r="J51" s="26">
        <v>0</v>
      </c>
      <c r="K51" s="26"/>
      <c r="L51" s="26"/>
      <c r="M51" s="26"/>
    </row>
    <row r="52" spans="1:13" x14ac:dyDescent="0.25">
      <c r="A52" s="27" t="s">
        <v>598</v>
      </c>
      <c r="B52" s="27">
        <v>5</v>
      </c>
      <c r="C52" s="27" t="s">
        <v>467</v>
      </c>
      <c r="D52" s="27" t="s">
        <v>599</v>
      </c>
      <c r="E52" s="27" t="s">
        <v>600</v>
      </c>
      <c r="F52" s="28" t="s">
        <v>601</v>
      </c>
      <c r="G52" s="27">
        <v>1.5</v>
      </c>
      <c r="H52" s="27"/>
      <c r="I52" s="27" t="s">
        <v>471</v>
      </c>
      <c r="J52" s="27">
        <v>0</v>
      </c>
      <c r="K52" s="27"/>
      <c r="L52" s="27"/>
      <c r="M52" s="27"/>
    </row>
    <row r="53" spans="1:13" x14ac:dyDescent="0.25">
      <c r="A53" s="26" t="s">
        <v>598</v>
      </c>
      <c r="B53" s="26">
        <v>5</v>
      </c>
      <c r="C53" s="26" t="s">
        <v>467</v>
      </c>
      <c r="D53" s="26" t="s">
        <v>599</v>
      </c>
      <c r="E53" s="26" t="s">
        <v>602</v>
      </c>
      <c r="F53" s="3" t="s">
        <v>603</v>
      </c>
      <c r="G53" s="26">
        <v>1.5</v>
      </c>
      <c r="H53" s="26"/>
      <c r="I53" s="26" t="s">
        <v>471</v>
      </c>
      <c r="J53" s="26">
        <v>0</v>
      </c>
      <c r="K53" s="26"/>
      <c r="L53" s="26"/>
      <c r="M53" s="26"/>
    </row>
    <row r="54" spans="1:13" ht="24" customHeight="1" x14ac:dyDescent="0.25">
      <c r="A54" s="27" t="s">
        <v>604</v>
      </c>
      <c r="B54" s="27">
        <v>5</v>
      </c>
      <c r="C54" s="27" t="s">
        <v>475</v>
      </c>
      <c r="D54" s="27" t="s">
        <v>599</v>
      </c>
      <c r="E54" s="27" t="s">
        <v>605</v>
      </c>
      <c r="F54" s="28" t="s">
        <v>606</v>
      </c>
      <c r="G54" s="27">
        <v>2</v>
      </c>
      <c r="H54" s="27"/>
      <c r="I54" s="27" t="s">
        <v>471</v>
      </c>
      <c r="J54" s="27">
        <v>0</v>
      </c>
      <c r="K54" s="27"/>
      <c r="L54" s="27"/>
      <c r="M54" s="27"/>
    </row>
    <row r="55" spans="1:13" x14ac:dyDescent="0.25">
      <c r="A55" s="26" t="s">
        <v>604</v>
      </c>
      <c r="B55" s="26">
        <v>5</v>
      </c>
      <c r="C55" s="26" t="s">
        <v>475</v>
      </c>
      <c r="D55" s="26" t="s">
        <v>599</v>
      </c>
      <c r="E55" s="26" t="s">
        <v>602</v>
      </c>
      <c r="F55" s="3" t="s">
        <v>607</v>
      </c>
      <c r="G55" s="26">
        <v>2</v>
      </c>
      <c r="H55" s="26"/>
      <c r="I55" s="26" t="s">
        <v>471</v>
      </c>
      <c r="J55" s="26">
        <v>0</v>
      </c>
      <c r="K55" s="26"/>
      <c r="L55" s="26"/>
      <c r="M55" s="26"/>
    </row>
    <row r="56" spans="1:13" x14ac:dyDescent="0.25">
      <c r="A56" s="27" t="s">
        <v>608</v>
      </c>
      <c r="B56" s="27">
        <v>5</v>
      </c>
      <c r="C56" s="27" t="s">
        <v>482</v>
      </c>
      <c r="D56" s="27" t="s">
        <v>599</v>
      </c>
      <c r="E56" s="27" t="s">
        <v>609</v>
      </c>
      <c r="F56" s="28" t="s">
        <v>610</v>
      </c>
      <c r="G56" s="27">
        <v>1.5</v>
      </c>
      <c r="H56" s="27"/>
      <c r="I56" s="27" t="s">
        <v>471</v>
      </c>
      <c r="J56" s="27">
        <v>0</v>
      </c>
      <c r="K56" s="27"/>
      <c r="L56" s="27"/>
      <c r="M56" s="27"/>
    </row>
    <row r="57" spans="1:13" x14ac:dyDescent="0.25">
      <c r="A57" s="26" t="s">
        <v>611</v>
      </c>
      <c r="B57" s="26">
        <v>5</v>
      </c>
      <c r="C57" s="26" t="s">
        <v>486</v>
      </c>
      <c r="D57" s="26" t="s">
        <v>599</v>
      </c>
      <c r="E57" s="26" t="s">
        <v>612</v>
      </c>
      <c r="F57" s="3" t="s">
        <v>613</v>
      </c>
      <c r="G57" s="26">
        <v>1.5</v>
      </c>
      <c r="H57" s="26"/>
      <c r="I57" s="26" t="s">
        <v>471</v>
      </c>
      <c r="J57" s="26">
        <v>0</v>
      </c>
      <c r="K57" s="26"/>
      <c r="L57" s="26"/>
      <c r="M57" s="26"/>
    </row>
    <row r="58" spans="1:13" x14ac:dyDescent="0.25">
      <c r="A58" s="27" t="s">
        <v>611</v>
      </c>
      <c r="B58" s="27">
        <v>5</v>
      </c>
      <c r="C58" s="27" t="s">
        <v>486</v>
      </c>
      <c r="D58" s="27" t="s">
        <v>599</v>
      </c>
      <c r="E58" s="27" t="s">
        <v>602</v>
      </c>
      <c r="F58" s="28" t="s">
        <v>614</v>
      </c>
      <c r="G58" s="27">
        <v>1.5</v>
      </c>
      <c r="H58" s="27"/>
      <c r="I58" s="27" t="s">
        <v>471</v>
      </c>
      <c r="J58" s="27">
        <v>0</v>
      </c>
      <c r="K58" s="27"/>
      <c r="L58" s="27"/>
      <c r="M58" s="27"/>
    </row>
    <row r="59" spans="1:13" ht="24" customHeight="1" x14ac:dyDescent="0.25">
      <c r="A59" s="26" t="s">
        <v>615</v>
      </c>
      <c r="B59" s="26">
        <v>5</v>
      </c>
      <c r="C59" s="26" t="s">
        <v>492</v>
      </c>
      <c r="D59" s="26" t="s">
        <v>599</v>
      </c>
      <c r="E59" s="26" t="s">
        <v>616</v>
      </c>
      <c r="F59" s="3" t="s">
        <v>617</v>
      </c>
      <c r="G59" s="26">
        <v>1.5</v>
      </c>
      <c r="H59" s="26"/>
      <c r="I59" s="26" t="s">
        <v>471</v>
      </c>
      <c r="J59" s="26">
        <v>0</v>
      </c>
      <c r="K59" s="26"/>
      <c r="L59" s="26"/>
      <c r="M59" s="26"/>
    </row>
    <row r="60" spans="1:13" ht="24" customHeight="1" x14ac:dyDescent="0.25">
      <c r="A60" s="27" t="s">
        <v>615</v>
      </c>
      <c r="B60" s="27">
        <v>5</v>
      </c>
      <c r="C60" s="27" t="s">
        <v>492</v>
      </c>
      <c r="D60" s="27" t="s">
        <v>599</v>
      </c>
      <c r="E60" s="27" t="s">
        <v>618</v>
      </c>
      <c r="F60" s="28" t="s">
        <v>619</v>
      </c>
      <c r="G60" s="27">
        <v>1.5</v>
      </c>
      <c r="H60" s="27"/>
      <c r="I60" s="27" t="s">
        <v>471</v>
      </c>
      <c r="J60" s="27">
        <v>0</v>
      </c>
      <c r="K60" s="27"/>
      <c r="L60" s="27"/>
      <c r="M60" s="27"/>
    </row>
    <row r="61" spans="1:13" x14ac:dyDescent="0.25">
      <c r="A61" s="26" t="s">
        <v>620</v>
      </c>
      <c r="B61" s="26">
        <v>5</v>
      </c>
      <c r="C61" s="26" t="s">
        <v>498</v>
      </c>
      <c r="D61" s="26" t="s">
        <v>599</v>
      </c>
      <c r="E61" s="26" t="s">
        <v>621</v>
      </c>
      <c r="F61" s="3" t="s">
        <v>622</v>
      </c>
      <c r="G61" s="26">
        <v>1.5</v>
      </c>
      <c r="H61" s="26"/>
      <c r="I61" s="26" t="s">
        <v>471</v>
      </c>
      <c r="J61" s="26">
        <v>0</v>
      </c>
      <c r="K61" s="26"/>
      <c r="L61" s="26"/>
      <c r="M61" s="26"/>
    </row>
    <row r="62" spans="1:13" x14ac:dyDescent="0.25">
      <c r="A62" s="27" t="s">
        <v>620</v>
      </c>
      <c r="B62" s="27">
        <v>5</v>
      </c>
      <c r="C62" s="27" t="s">
        <v>498</v>
      </c>
      <c r="D62" s="27" t="s">
        <v>508</v>
      </c>
      <c r="E62" s="27" t="s">
        <v>623</v>
      </c>
      <c r="F62" s="28" t="s">
        <v>624</v>
      </c>
      <c r="G62" s="27">
        <v>1.5</v>
      </c>
      <c r="H62" s="27"/>
      <c r="I62" s="27" t="s">
        <v>471</v>
      </c>
      <c r="J62" s="27">
        <v>0</v>
      </c>
      <c r="K62" s="27"/>
      <c r="L62" s="27"/>
      <c r="M62" s="27"/>
    </row>
    <row r="63" spans="1:13" x14ac:dyDescent="0.25">
      <c r="A63" s="26" t="s">
        <v>625</v>
      </c>
      <c r="B63" s="26">
        <v>5</v>
      </c>
      <c r="C63" s="26" t="s">
        <v>505</v>
      </c>
      <c r="D63" s="26" t="s">
        <v>599</v>
      </c>
      <c r="E63" s="26" t="s">
        <v>626</v>
      </c>
      <c r="F63" s="3" t="s">
        <v>627</v>
      </c>
      <c r="G63" s="26">
        <v>2</v>
      </c>
      <c r="H63" s="26"/>
      <c r="I63" s="26" t="s">
        <v>471</v>
      </c>
      <c r="J63" s="26">
        <v>0</v>
      </c>
      <c r="K63" s="26"/>
      <c r="L63" s="26"/>
      <c r="M63" s="26"/>
    </row>
    <row r="64" spans="1:13" x14ac:dyDescent="0.25">
      <c r="A64" s="27" t="s">
        <v>628</v>
      </c>
      <c r="B64" s="27">
        <v>6</v>
      </c>
      <c r="C64" s="27" t="s">
        <v>467</v>
      </c>
      <c r="D64" s="27" t="s">
        <v>599</v>
      </c>
      <c r="E64" s="27" t="s">
        <v>629</v>
      </c>
      <c r="F64" s="28" t="s">
        <v>630</v>
      </c>
      <c r="G64" s="27">
        <v>1.5</v>
      </c>
      <c r="H64" s="27"/>
      <c r="I64" s="27" t="s">
        <v>471</v>
      </c>
      <c r="J64" s="27">
        <v>0</v>
      </c>
      <c r="K64" s="27"/>
      <c r="L64" s="27"/>
      <c r="M64" s="27"/>
    </row>
    <row r="65" spans="1:13" ht="24" customHeight="1" x14ac:dyDescent="0.25">
      <c r="A65" s="26" t="s">
        <v>628</v>
      </c>
      <c r="B65" s="26">
        <v>6</v>
      </c>
      <c r="C65" s="26" t="s">
        <v>467</v>
      </c>
      <c r="D65" s="26" t="s">
        <v>599</v>
      </c>
      <c r="E65" s="26" t="s">
        <v>631</v>
      </c>
      <c r="F65" s="3" t="s">
        <v>632</v>
      </c>
      <c r="G65" s="26">
        <v>1.5</v>
      </c>
      <c r="H65" s="26"/>
      <c r="I65" s="26" t="s">
        <v>471</v>
      </c>
      <c r="J65" s="26">
        <v>0</v>
      </c>
      <c r="K65" s="26"/>
      <c r="L65" s="26"/>
      <c r="M65" s="26"/>
    </row>
    <row r="66" spans="1:13" x14ac:dyDescent="0.25">
      <c r="A66" s="27" t="s">
        <v>633</v>
      </c>
      <c r="B66" s="27">
        <v>6</v>
      </c>
      <c r="C66" s="27" t="s">
        <v>475</v>
      </c>
      <c r="D66" s="27" t="s">
        <v>599</v>
      </c>
      <c r="E66" s="27" t="s">
        <v>634</v>
      </c>
      <c r="F66" s="28" t="s">
        <v>635</v>
      </c>
      <c r="G66" s="27">
        <v>2</v>
      </c>
      <c r="H66" s="27"/>
      <c r="I66" s="27" t="s">
        <v>471</v>
      </c>
      <c r="J66" s="27">
        <v>0</v>
      </c>
      <c r="K66" s="27"/>
      <c r="L66" s="27"/>
      <c r="M66" s="27"/>
    </row>
    <row r="67" spans="1:13" x14ac:dyDescent="0.25">
      <c r="A67" s="26" t="s">
        <v>633</v>
      </c>
      <c r="B67" s="26">
        <v>6</v>
      </c>
      <c r="C67" s="26" t="s">
        <v>475</v>
      </c>
      <c r="D67" s="26" t="s">
        <v>599</v>
      </c>
      <c r="E67" s="26" t="s">
        <v>636</v>
      </c>
      <c r="F67" s="3" t="s">
        <v>637</v>
      </c>
      <c r="G67" s="26">
        <v>2</v>
      </c>
      <c r="H67" s="26"/>
      <c r="I67" s="26" t="s">
        <v>471</v>
      </c>
      <c r="J67" s="26">
        <v>0</v>
      </c>
      <c r="K67" s="26"/>
      <c r="L67" s="26"/>
      <c r="M67" s="26"/>
    </row>
    <row r="68" spans="1:13" x14ac:dyDescent="0.25">
      <c r="A68" s="27" t="s">
        <v>93</v>
      </c>
      <c r="B68" s="27">
        <v>6</v>
      </c>
      <c r="C68" s="27" t="s">
        <v>482</v>
      </c>
      <c r="D68" s="27" t="s">
        <v>599</v>
      </c>
      <c r="E68" s="27" t="s">
        <v>638</v>
      </c>
      <c r="F68" s="28" t="s">
        <v>639</v>
      </c>
      <c r="G68" s="27">
        <v>1.5</v>
      </c>
      <c r="H68" s="27"/>
      <c r="I68" s="27" t="s">
        <v>471</v>
      </c>
      <c r="J68" s="27">
        <v>0</v>
      </c>
      <c r="K68" s="27"/>
      <c r="L68" s="27"/>
      <c r="M68" s="27"/>
    </row>
    <row r="69" spans="1:13" ht="24" customHeight="1" x14ac:dyDescent="0.25">
      <c r="A69" s="26" t="s">
        <v>640</v>
      </c>
      <c r="B69" s="26">
        <v>6</v>
      </c>
      <c r="C69" s="26" t="s">
        <v>486</v>
      </c>
      <c r="D69" s="26" t="s">
        <v>599</v>
      </c>
      <c r="E69" s="26" t="s">
        <v>641</v>
      </c>
      <c r="F69" s="3" t="s">
        <v>642</v>
      </c>
      <c r="G69" s="26">
        <v>1.5</v>
      </c>
      <c r="H69" s="26"/>
      <c r="I69" s="26" t="s">
        <v>471</v>
      </c>
      <c r="J69" s="26">
        <v>0</v>
      </c>
      <c r="K69" s="26"/>
      <c r="L69" s="26"/>
      <c r="M69" s="26"/>
    </row>
    <row r="70" spans="1:13" ht="24" customHeight="1" x14ac:dyDescent="0.25">
      <c r="A70" s="27" t="s">
        <v>640</v>
      </c>
      <c r="B70" s="27">
        <v>6</v>
      </c>
      <c r="C70" s="27" t="s">
        <v>486</v>
      </c>
      <c r="D70" s="27" t="s">
        <v>599</v>
      </c>
      <c r="E70" s="27" t="s">
        <v>602</v>
      </c>
      <c r="F70" s="28" t="s">
        <v>643</v>
      </c>
      <c r="G70" s="27">
        <v>1.5</v>
      </c>
      <c r="H70" s="27"/>
      <c r="I70" s="27" t="s">
        <v>471</v>
      </c>
      <c r="J70" s="27">
        <v>0</v>
      </c>
      <c r="K70" s="27"/>
      <c r="L70" s="27"/>
      <c r="M70" s="27"/>
    </row>
    <row r="71" spans="1:13" x14ac:dyDescent="0.25">
      <c r="A71" s="26" t="s">
        <v>644</v>
      </c>
      <c r="B71" s="26">
        <v>6</v>
      </c>
      <c r="C71" s="26" t="s">
        <v>492</v>
      </c>
      <c r="D71" s="26" t="s">
        <v>599</v>
      </c>
      <c r="E71" s="26" t="s">
        <v>645</v>
      </c>
      <c r="F71" s="3" t="s">
        <v>646</v>
      </c>
      <c r="G71" s="26">
        <v>1.5</v>
      </c>
      <c r="H71" s="26"/>
      <c r="I71" s="26" t="s">
        <v>471</v>
      </c>
      <c r="J71" s="26">
        <v>0</v>
      </c>
      <c r="K71" s="26"/>
      <c r="L71" s="26"/>
      <c r="M71" s="26"/>
    </row>
    <row r="72" spans="1:13" x14ac:dyDescent="0.25">
      <c r="A72" s="27" t="s">
        <v>644</v>
      </c>
      <c r="B72" s="27">
        <v>6</v>
      </c>
      <c r="C72" s="27" t="s">
        <v>492</v>
      </c>
      <c r="D72" s="27" t="s">
        <v>599</v>
      </c>
      <c r="E72" s="27" t="s">
        <v>647</v>
      </c>
      <c r="F72" s="28" t="s">
        <v>648</v>
      </c>
      <c r="G72" s="27">
        <v>1.5</v>
      </c>
      <c r="H72" s="27"/>
      <c r="I72" s="27" t="s">
        <v>471</v>
      </c>
      <c r="J72" s="27">
        <v>0</v>
      </c>
      <c r="K72" s="27"/>
      <c r="L72" s="27"/>
      <c r="M72" s="27"/>
    </row>
    <row r="73" spans="1:13" ht="24" customHeight="1" x14ac:dyDescent="0.25">
      <c r="A73" s="26" t="s">
        <v>649</v>
      </c>
      <c r="B73" s="26">
        <v>6</v>
      </c>
      <c r="C73" s="26" t="s">
        <v>498</v>
      </c>
      <c r="D73" s="26" t="s">
        <v>599</v>
      </c>
      <c r="E73" s="26" t="s">
        <v>650</v>
      </c>
      <c r="F73" s="3" t="s">
        <v>651</v>
      </c>
      <c r="G73" s="26">
        <v>1.5</v>
      </c>
      <c r="H73" s="26"/>
      <c r="I73" s="26" t="s">
        <v>471</v>
      </c>
      <c r="J73" s="26">
        <v>0</v>
      </c>
      <c r="K73" s="26"/>
      <c r="L73" s="26"/>
      <c r="M73" s="26"/>
    </row>
    <row r="74" spans="1:13" x14ac:dyDescent="0.25">
      <c r="A74" s="27" t="s">
        <v>649</v>
      </c>
      <c r="B74" s="27">
        <v>6</v>
      </c>
      <c r="C74" s="27" t="s">
        <v>498</v>
      </c>
      <c r="D74" s="27" t="s">
        <v>508</v>
      </c>
      <c r="E74" s="27" t="s">
        <v>652</v>
      </c>
      <c r="F74" s="28" t="s">
        <v>653</v>
      </c>
      <c r="G74" s="27">
        <v>1.5</v>
      </c>
      <c r="H74" s="27"/>
      <c r="I74" s="27" t="s">
        <v>471</v>
      </c>
      <c r="J74" s="27">
        <v>0</v>
      </c>
      <c r="K74" s="27"/>
      <c r="L74" s="27"/>
      <c r="M74" s="27"/>
    </row>
    <row r="75" spans="1:13" ht="24" customHeight="1" x14ac:dyDescent="0.25">
      <c r="A75" s="26" t="s">
        <v>654</v>
      </c>
      <c r="B75" s="26">
        <v>6</v>
      </c>
      <c r="C75" s="26" t="s">
        <v>505</v>
      </c>
      <c r="D75" s="26" t="s">
        <v>599</v>
      </c>
      <c r="E75" s="26" t="s">
        <v>655</v>
      </c>
      <c r="F75" s="3" t="s">
        <v>656</v>
      </c>
      <c r="G75" s="26">
        <v>2</v>
      </c>
      <c r="H75" s="26"/>
      <c r="I75" s="26" t="s">
        <v>471</v>
      </c>
      <c r="J75" s="26">
        <v>0</v>
      </c>
      <c r="K75" s="26"/>
      <c r="L75" s="26"/>
      <c r="M75" s="26"/>
    </row>
    <row r="76" spans="1:13" ht="24" customHeight="1" x14ac:dyDescent="0.25">
      <c r="A76" s="27" t="s">
        <v>657</v>
      </c>
      <c r="B76" s="27">
        <v>7</v>
      </c>
      <c r="C76" s="27" t="s">
        <v>467</v>
      </c>
      <c r="D76" s="27" t="s">
        <v>658</v>
      </c>
      <c r="E76" s="27" t="s">
        <v>659</v>
      </c>
      <c r="F76" s="28" t="s">
        <v>660</v>
      </c>
      <c r="G76" s="27">
        <v>1.5</v>
      </c>
      <c r="H76" s="27"/>
      <c r="I76" s="27" t="s">
        <v>471</v>
      </c>
      <c r="J76" s="27">
        <v>0</v>
      </c>
      <c r="K76" s="27"/>
      <c r="L76" s="27"/>
      <c r="M76" s="27"/>
    </row>
    <row r="77" spans="1:13" x14ac:dyDescent="0.25">
      <c r="A77" s="26" t="s">
        <v>657</v>
      </c>
      <c r="B77" s="26">
        <v>7</v>
      </c>
      <c r="C77" s="26" t="s">
        <v>467</v>
      </c>
      <c r="D77" s="26" t="s">
        <v>658</v>
      </c>
      <c r="E77" s="26" t="s">
        <v>661</v>
      </c>
      <c r="F77" s="3" t="s">
        <v>662</v>
      </c>
      <c r="G77" s="26">
        <v>1.5</v>
      </c>
      <c r="H77" s="26"/>
      <c r="I77" s="26" t="s">
        <v>471</v>
      </c>
      <c r="J77" s="26">
        <v>0</v>
      </c>
      <c r="K77" s="26"/>
      <c r="L77" s="26"/>
      <c r="M77" s="26"/>
    </row>
    <row r="78" spans="1:13" x14ac:dyDescent="0.25">
      <c r="A78" s="27" t="s">
        <v>663</v>
      </c>
      <c r="B78" s="27">
        <v>7</v>
      </c>
      <c r="C78" s="27" t="s">
        <v>475</v>
      </c>
      <c r="D78" s="27" t="s">
        <v>658</v>
      </c>
      <c r="E78" s="27" t="s">
        <v>664</v>
      </c>
      <c r="F78" s="28" t="s">
        <v>665</v>
      </c>
      <c r="G78" s="27">
        <v>2</v>
      </c>
      <c r="H78" s="27"/>
      <c r="I78" s="27" t="s">
        <v>471</v>
      </c>
      <c r="J78" s="27">
        <v>0</v>
      </c>
      <c r="K78" s="27"/>
      <c r="L78" s="27"/>
      <c r="M78" s="27"/>
    </row>
    <row r="79" spans="1:13" x14ac:dyDescent="0.25">
      <c r="A79" s="26" t="s">
        <v>663</v>
      </c>
      <c r="B79" s="26">
        <v>7</v>
      </c>
      <c r="C79" s="26" t="s">
        <v>475</v>
      </c>
      <c r="D79" s="26" t="s">
        <v>658</v>
      </c>
      <c r="E79" s="26" t="s">
        <v>661</v>
      </c>
      <c r="F79" s="3" t="s">
        <v>666</v>
      </c>
      <c r="G79" s="26">
        <v>2</v>
      </c>
      <c r="H79" s="26"/>
      <c r="I79" s="26" t="s">
        <v>471</v>
      </c>
      <c r="J79" s="26">
        <v>0</v>
      </c>
      <c r="K79" s="26"/>
      <c r="L79" s="26"/>
      <c r="M79" s="26"/>
    </row>
    <row r="80" spans="1:13" x14ac:dyDescent="0.25">
      <c r="A80" s="27" t="s">
        <v>667</v>
      </c>
      <c r="B80" s="27">
        <v>7</v>
      </c>
      <c r="C80" s="27" t="s">
        <v>482</v>
      </c>
      <c r="D80" s="27" t="s">
        <v>658</v>
      </c>
      <c r="E80" s="27" t="s">
        <v>668</v>
      </c>
      <c r="F80" s="28" t="s">
        <v>669</v>
      </c>
      <c r="G80" s="27">
        <v>1.5</v>
      </c>
      <c r="H80" s="27"/>
      <c r="I80" s="27" t="s">
        <v>471</v>
      </c>
      <c r="J80" s="27">
        <v>0</v>
      </c>
      <c r="K80" s="27"/>
      <c r="L80" s="27"/>
      <c r="M80" s="27"/>
    </row>
    <row r="81" spans="1:13" x14ac:dyDescent="0.25">
      <c r="A81" s="26" t="s">
        <v>670</v>
      </c>
      <c r="B81" s="26">
        <v>7</v>
      </c>
      <c r="C81" s="26" t="s">
        <v>486</v>
      </c>
      <c r="D81" s="26" t="s">
        <v>658</v>
      </c>
      <c r="E81" s="26" t="s">
        <v>671</v>
      </c>
      <c r="F81" s="3" t="s">
        <v>672</v>
      </c>
      <c r="G81" s="26">
        <v>1.5</v>
      </c>
      <c r="H81" s="26"/>
      <c r="I81" s="26" t="s">
        <v>471</v>
      </c>
      <c r="J81" s="26">
        <v>0</v>
      </c>
      <c r="K81" s="26"/>
      <c r="L81" s="26"/>
      <c r="M81" s="26"/>
    </row>
    <row r="82" spans="1:13" x14ac:dyDescent="0.25">
      <c r="A82" s="27" t="s">
        <v>670</v>
      </c>
      <c r="B82" s="27">
        <v>7</v>
      </c>
      <c r="C82" s="27" t="s">
        <v>486</v>
      </c>
      <c r="D82" s="27" t="s">
        <v>658</v>
      </c>
      <c r="E82" s="27" t="s">
        <v>661</v>
      </c>
      <c r="F82" s="28" t="s">
        <v>673</v>
      </c>
      <c r="G82" s="27">
        <v>1.5</v>
      </c>
      <c r="H82" s="27"/>
      <c r="I82" s="27" t="s">
        <v>471</v>
      </c>
      <c r="J82" s="27">
        <v>0</v>
      </c>
      <c r="K82" s="27"/>
      <c r="L82" s="27"/>
      <c r="M82" s="27"/>
    </row>
    <row r="83" spans="1:13" ht="24" customHeight="1" x14ac:dyDescent="0.25">
      <c r="A83" s="26" t="s">
        <v>674</v>
      </c>
      <c r="B83" s="26">
        <v>7</v>
      </c>
      <c r="C83" s="26" t="s">
        <v>492</v>
      </c>
      <c r="D83" s="26" t="s">
        <v>658</v>
      </c>
      <c r="E83" s="26" t="s">
        <v>675</v>
      </c>
      <c r="F83" s="3" t="s">
        <v>676</v>
      </c>
      <c r="G83" s="26">
        <v>1.5</v>
      </c>
      <c r="H83" s="26"/>
      <c r="I83" s="26" t="s">
        <v>471</v>
      </c>
      <c r="J83" s="26">
        <v>0</v>
      </c>
      <c r="K83" s="26"/>
      <c r="L83" s="26"/>
      <c r="M83" s="26"/>
    </row>
    <row r="84" spans="1:13" x14ac:dyDescent="0.25">
      <c r="A84" s="27" t="s">
        <v>674</v>
      </c>
      <c r="B84" s="27">
        <v>7</v>
      </c>
      <c r="C84" s="27" t="s">
        <v>492</v>
      </c>
      <c r="D84" s="27" t="s">
        <v>658</v>
      </c>
      <c r="E84" s="27" t="s">
        <v>677</v>
      </c>
      <c r="F84" s="28" t="s">
        <v>678</v>
      </c>
      <c r="G84" s="27">
        <v>1.5</v>
      </c>
      <c r="H84" s="27"/>
      <c r="I84" s="27" t="s">
        <v>471</v>
      </c>
      <c r="J84" s="27">
        <v>0</v>
      </c>
      <c r="K84" s="27"/>
      <c r="L84" s="27"/>
      <c r="M84" s="27"/>
    </row>
    <row r="85" spans="1:13" x14ac:dyDescent="0.25">
      <c r="A85" s="26" t="s">
        <v>679</v>
      </c>
      <c r="B85" s="26">
        <v>7</v>
      </c>
      <c r="C85" s="26" t="s">
        <v>498</v>
      </c>
      <c r="D85" s="26" t="s">
        <v>658</v>
      </c>
      <c r="E85" s="26" t="s">
        <v>680</v>
      </c>
      <c r="F85" s="3" t="s">
        <v>681</v>
      </c>
      <c r="G85" s="26">
        <v>1.5</v>
      </c>
      <c r="H85" s="26"/>
      <c r="I85" s="26" t="s">
        <v>471</v>
      </c>
      <c r="J85" s="26">
        <v>0</v>
      </c>
      <c r="K85" s="26"/>
      <c r="L85" s="26"/>
      <c r="M85" s="26"/>
    </row>
    <row r="86" spans="1:13" x14ac:dyDescent="0.25">
      <c r="A86" s="27" t="s">
        <v>679</v>
      </c>
      <c r="B86" s="27">
        <v>7</v>
      </c>
      <c r="C86" s="27" t="s">
        <v>498</v>
      </c>
      <c r="D86" s="27" t="s">
        <v>508</v>
      </c>
      <c r="E86" s="27" t="s">
        <v>682</v>
      </c>
      <c r="F86" s="28" t="s">
        <v>683</v>
      </c>
      <c r="G86" s="27">
        <v>1.5</v>
      </c>
      <c r="H86" s="27"/>
      <c r="I86" s="27" t="s">
        <v>471</v>
      </c>
      <c r="J86" s="27">
        <v>0</v>
      </c>
      <c r="K86" s="27"/>
      <c r="L86" s="27"/>
      <c r="M86" s="27"/>
    </row>
    <row r="87" spans="1:13" ht="24" customHeight="1" x14ac:dyDescent="0.25">
      <c r="A87" s="26" t="s">
        <v>684</v>
      </c>
      <c r="B87" s="26">
        <v>7</v>
      </c>
      <c r="C87" s="26" t="s">
        <v>505</v>
      </c>
      <c r="D87" s="26" t="s">
        <v>658</v>
      </c>
      <c r="E87" s="26" t="s">
        <v>685</v>
      </c>
      <c r="F87" s="3" t="s">
        <v>686</v>
      </c>
      <c r="G87" s="26">
        <v>2</v>
      </c>
      <c r="H87" s="26"/>
      <c r="I87" s="26" t="s">
        <v>471</v>
      </c>
      <c r="J87" s="26">
        <v>0</v>
      </c>
      <c r="K87" s="26"/>
      <c r="L87" s="26"/>
      <c r="M87" s="26"/>
    </row>
    <row r="88" spans="1:13" ht="24" customHeight="1" x14ac:dyDescent="0.25">
      <c r="A88" s="27" t="s">
        <v>687</v>
      </c>
      <c r="B88" s="27">
        <v>8</v>
      </c>
      <c r="C88" s="27" t="s">
        <v>467</v>
      </c>
      <c r="D88" s="27" t="s">
        <v>688</v>
      </c>
      <c r="E88" s="27" t="s">
        <v>689</v>
      </c>
      <c r="F88" s="28" t="s">
        <v>690</v>
      </c>
      <c r="G88" s="27">
        <v>1.5</v>
      </c>
      <c r="H88" s="27"/>
      <c r="I88" s="27" t="s">
        <v>471</v>
      </c>
      <c r="J88" s="27">
        <v>0</v>
      </c>
      <c r="K88" s="27"/>
      <c r="L88" s="27"/>
      <c r="M88" s="27"/>
    </row>
    <row r="89" spans="1:13" ht="24" customHeight="1" x14ac:dyDescent="0.25">
      <c r="A89" s="26" t="s">
        <v>687</v>
      </c>
      <c r="B89" s="26">
        <v>8</v>
      </c>
      <c r="C89" s="26" t="s">
        <v>467</v>
      </c>
      <c r="D89" s="26" t="s">
        <v>688</v>
      </c>
      <c r="E89" s="26" t="s">
        <v>691</v>
      </c>
      <c r="F89" s="3" t="s">
        <v>692</v>
      </c>
      <c r="G89" s="26">
        <v>1.5</v>
      </c>
      <c r="H89" s="26"/>
      <c r="I89" s="26" t="s">
        <v>471</v>
      </c>
      <c r="J89" s="26">
        <v>0</v>
      </c>
      <c r="K89" s="26"/>
      <c r="L89" s="26"/>
      <c r="M89" s="26"/>
    </row>
    <row r="90" spans="1:13" ht="24" customHeight="1" x14ac:dyDescent="0.25">
      <c r="A90" s="27" t="s">
        <v>693</v>
      </c>
      <c r="B90" s="27">
        <v>8</v>
      </c>
      <c r="C90" s="27" t="s">
        <v>475</v>
      </c>
      <c r="D90" s="27" t="s">
        <v>688</v>
      </c>
      <c r="E90" s="27" t="s">
        <v>694</v>
      </c>
      <c r="F90" s="28" t="s">
        <v>695</v>
      </c>
      <c r="G90" s="27">
        <v>2</v>
      </c>
      <c r="H90" s="27"/>
      <c r="I90" s="27" t="s">
        <v>471</v>
      </c>
      <c r="J90" s="27">
        <v>0</v>
      </c>
      <c r="K90" s="27"/>
      <c r="L90" s="27"/>
      <c r="M90" s="27"/>
    </row>
    <row r="91" spans="1:13" ht="24" customHeight="1" x14ac:dyDescent="0.25">
      <c r="A91" s="26" t="s">
        <v>693</v>
      </c>
      <c r="B91" s="26">
        <v>8</v>
      </c>
      <c r="C91" s="26" t="s">
        <v>475</v>
      </c>
      <c r="D91" s="26" t="s">
        <v>688</v>
      </c>
      <c r="E91" s="26" t="s">
        <v>696</v>
      </c>
      <c r="F91" s="3" t="s">
        <v>697</v>
      </c>
      <c r="G91" s="26">
        <v>2</v>
      </c>
      <c r="H91" s="26"/>
      <c r="I91" s="26" t="s">
        <v>471</v>
      </c>
      <c r="J91" s="26">
        <v>0</v>
      </c>
      <c r="K91" s="26"/>
      <c r="L91" s="26"/>
      <c r="M91" s="26"/>
    </row>
    <row r="92" spans="1:13" x14ac:dyDescent="0.25">
      <c r="A92" s="27" t="s">
        <v>698</v>
      </c>
      <c r="B92" s="27">
        <v>8</v>
      </c>
      <c r="C92" s="27" t="s">
        <v>482</v>
      </c>
      <c r="D92" s="27" t="s">
        <v>688</v>
      </c>
      <c r="E92" s="27" t="s">
        <v>699</v>
      </c>
      <c r="F92" s="28" t="s">
        <v>700</v>
      </c>
      <c r="G92" s="27">
        <v>1.5</v>
      </c>
      <c r="H92" s="27"/>
      <c r="I92" s="27" t="s">
        <v>471</v>
      </c>
      <c r="J92" s="27">
        <v>0</v>
      </c>
      <c r="K92" s="27"/>
      <c r="L92" s="27"/>
      <c r="M92" s="27"/>
    </row>
    <row r="93" spans="1:13" ht="24" customHeight="1" x14ac:dyDescent="0.25">
      <c r="A93" s="26" t="s">
        <v>701</v>
      </c>
      <c r="B93" s="26">
        <v>8</v>
      </c>
      <c r="C93" s="26" t="s">
        <v>486</v>
      </c>
      <c r="D93" s="26" t="s">
        <v>688</v>
      </c>
      <c r="E93" s="26" t="s">
        <v>702</v>
      </c>
      <c r="F93" s="3" t="s">
        <v>703</v>
      </c>
      <c r="G93" s="26">
        <v>1.5</v>
      </c>
      <c r="H93" s="26"/>
      <c r="I93" s="26" t="s">
        <v>471</v>
      </c>
      <c r="J93" s="26">
        <v>0</v>
      </c>
      <c r="K93" s="26"/>
      <c r="L93" s="26"/>
      <c r="M93" s="26"/>
    </row>
    <row r="94" spans="1:13" ht="24" customHeight="1" x14ac:dyDescent="0.25">
      <c r="A94" s="27" t="s">
        <v>701</v>
      </c>
      <c r="B94" s="27">
        <v>8</v>
      </c>
      <c r="C94" s="27" t="s">
        <v>486</v>
      </c>
      <c r="D94" s="27" t="s">
        <v>688</v>
      </c>
      <c r="E94" s="27" t="s">
        <v>704</v>
      </c>
      <c r="F94" s="28" t="s">
        <v>705</v>
      </c>
      <c r="G94" s="27">
        <v>1.5</v>
      </c>
      <c r="H94" s="27"/>
      <c r="I94" s="27" t="s">
        <v>471</v>
      </c>
      <c r="J94" s="27">
        <v>0</v>
      </c>
      <c r="K94" s="27"/>
      <c r="L94" s="27"/>
      <c r="M94" s="27"/>
    </row>
    <row r="95" spans="1:13" ht="24" customHeight="1" x14ac:dyDescent="0.25">
      <c r="A95" s="26" t="s">
        <v>706</v>
      </c>
      <c r="B95" s="26">
        <v>8</v>
      </c>
      <c r="C95" s="26" t="s">
        <v>492</v>
      </c>
      <c r="D95" s="26" t="s">
        <v>688</v>
      </c>
      <c r="E95" s="26" t="s">
        <v>707</v>
      </c>
      <c r="F95" s="3" t="s">
        <v>708</v>
      </c>
      <c r="G95" s="26">
        <v>1.5</v>
      </c>
      <c r="H95" s="26"/>
      <c r="I95" s="26" t="s">
        <v>471</v>
      </c>
      <c r="J95" s="26">
        <v>0</v>
      </c>
      <c r="K95" s="26"/>
      <c r="L95" s="26"/>
      <c r="M95" s="26"/>
    </row>
    <row r="96" spans="1:13" x14ac:dyDescent="0.25">
      <c r="A96" s="27" t="s">
        <v>706</v>
      </c>
      <c r="B96" s="27">
        <v>8</v>
      </c>
      <c r="C96" s="27" t="s">
        <v>492</v>
      </c>
      <c r="D96" s="27" t="s">
        <v>688</v>
      </c>
      <c r="E96" s="27" t="s">
        <v>709</v>
      </c>
      <c r="F96" s="28" t="s">
        <v>710</v>
      </c>
      <c r="G96" s="27">
        <v>1.5</v>
      </c>
      <c r="H96" s="27"/>
      <c r="I96" s="27" t="s">
        <v>471</v>
      </c>
      <c r="J96" s="27">
        <v>0</v>
      </c>
      <c r="K96" s="27"/>
      <c r="L96" s="27"/>
      <c r="M96" s="27"/>
    </row>
    <row r="97" spans="1:13" ht="24" customHeight="1" x14ac:dyDescent="0.25">
      <c r="A97" s="26" t="s">
        <v>711</v>
      </c>
      <c r="B97" s="26">
        <v>8</v>
      </c>
      <c r="C97" s="26" t="s">
        <v>498</v>
      </c>
      <c r="D97" s="26" t="s">
        <v>688</v>
      </c>
      <c r="E97" s="26" t="s">
        <v>712</v>
      </c>
      <c r="F97" s="3" t="s">
        <v>713</v>
      </c>
      <c r="G97" s="26">
        <v>1.5</v>
      </c>
      <c r="H97" s="26"/>
      <c r="I97" s="26" t="s">
        <v>471</v>
      </c>
      <c r="J97" s="26">
        <v>0</v>
      </c>
      <c r="K97" s="26"/>
      <c r="L97" s="26"/>
      <c r="M97" s="26"/>
    </row>
    <row r="98" spans="1:13" x14ac:dyDescent="0.25">
      <c r="A98" s="27" t="s">
        <v>711</v>
      </c>
      <c r="B98" s="27">
        <v>8</v>
      </c>
      <c r="C98" s="27" t="s">
        <v>498</v>
      </c>
      <c r="D98" s="27" t="s">
        <v>508</v>
      </c>
      <c r="E98" s="27" t="s">
        <v>714</v>
      </c>
      <c r="F98" s="28" t="s">
        <v>715</v>
      </c>
      <c r="G98" s="27">
        <v>1.5</v>
      </c>
      <c r="H98" s="27"/>
      <c r="I98" s="27" t="s">
        <v>471</v>
      </c>
      <c r="J98" s="27">
        <v>0</v>
      </c>
      <c r="K98" s="27"/>
      <c r="L98" s="27"/>
      <c r="M98" s="27"/>
    </row>
    <row r="99" spans="1:13" ht="24" customHeight="1" x14ac:dyDescent="0.25">
      <c r="A99" s="26" t="s">
        <v>716</v>
      </c>
      <c r="B99" s="26">
        <v>8</v>
      </c>
      <c r="C99" s="26" t="s">
        <v>505</v>
      </c>
      <c r="D99" s="26" t="s">
        <v>688</v>
      </c>
      <c r="E99" s="26" t="s">
        <v>717</v>
      </c>
      <c r="F99" s="3" t="s">
        <v>718</v>
      </c>
      <c r="G99" s="26">
        <v>2</v>
      </c>
      <c r="H99" s="26"/>
      <c r="I99" s="26" t="s">
        <v>471</v>
      </c>
      <c r="J99" s="26">
        <v>0</v>
      </c>
      <c r="K99" s="26"/>
      <c r="L99" s="26"/>
      <c r="M99" s="26"/>
    </row>
    <row r="100" spans="1:13" x14ac:dyDescent="0.25">
      <c r="A100" s="27" t="s">
        <v>719</v>
      </c>
      <c r="B100" s="27">
        <v>9</v>
      </c>
      <c r="C100" s="27" t="s">
        <v>467</v>
      </c>
      <c r="D100" s="27" t="s">
        <v>720</v>
      </c>
      <c r="E100" s="27" t="s">
        <v>721</v>
      </c>
      <c r="F100" s="28" t="s">
        <v>722</v>
      </c>
      <c r="G100" s="27">
        <v>1.5</v>
      </c>
      <c r="H100" s="27"/>
      <c r="I100" s="27" t="s">
        <v>471</v>
      </c>
      <c r="J100" s="27">
        <v>0</v>
      </c>
      <c r="K100" s="27"/>
      <c r="L100" s="27"/>
      <c r="M100" s="27"/>
    </row>
    <row r="101" spans="1:13" x14ac:dyDescent="0.25">
      <c r="A101" s="26" t="s">
        <v>719</v>
      </c>
      <c r="B101" s="26">
        <v>9</v>
      </c>
      <c r="C101" s="26" t="s">
        <v>467</v>
      </c>
      <c r="D101" s="26" t="s">
        <v>720</v>
      </c>
      <c r="E101" s="26" t="s">
        <v>723</v>
      </c>
      <c r="F101" s="3" t="s">
        <v>724</v>
      </c>
      <c r="G101" s="26">
        <v>1.5</v>
      </c>
      <c r="H101" s="26"/>
      <c r="I101" s="26" t="s">
        <v>471</v>
      </c>
      <c r="J101" s="26">
        <v>0</v>
      </c>
      <c r="K101" s="26"/>
      <c r="L101" s="26"/>
      <c r="M101" s="26"/>
    </row>
    <row r="102" spans="1:13" ht="24" customHeight="1" x14ac:dyDescent="0.25">
      <c r="A102" s="27" t="s">
        <v>725</v>
      </c>
      <c r="B102" s="27">
        <v>9</v>
      </c>
      <c r="C102" s="27" t="s">
        <v>475</v>
      </c>
      <c r="D102" s="27" t="s">
        <v>720</v>
      </c>
      <c r="E102" s="27" t="s">
        <v>726</v>
      </c>
      <c r="F102" s="28" t="s">
        <v>727</v>
      </c>
      <c r="G102" s="27">
        <v>2</v>
      </c>
      <c r="H102" s="27"/>
      <c r="I102" s="27" t="s">
        <v>471</v>
      </c>
      <c r="J102" s="27">
        <v>0</v>
      </c>
      <c r="K102" s="27"/>
      <c r="L102" s="27"/>
      <c r="M102" s="27"/>
    </row>
    <row r="103" spans="1:13" x14ac:dyDescent="0.25">
      <c r="A103" s="26" t="s">
        <v>725</v>
      </c>
      <c r="B103" s="26">
        <v>9</v>
      </c>
      <c r="C103" s="26" t="s">
        <v>475</v>
      </c>
      <c r="D103" s="26" t="s">
        <v>720</v>
      </c>
      <c r="E103" s="26" t="s">
        <v>728</v>
      </c>
      <c r="F103" s="3" t="s">
        <v>729</v>
      </c>
      <c r="G103" s="26">
        <v>2</v>
      </c>
      <c r="H103" s="26"/>
      <c r="I103" s="26" t="s">
        <v>471</v>
      </c>
      <c r="J103" s="26">
        <v>0</v>
      </c>
      <c r="K103" s="26"/>
      <c r="L103" s="26"/>
      <c r="M103" s="26"/>
    </row>
    <row r="104" spans="1:13" x14ac:dyDescent="0.25">
      <c r="A104" s="27" t="s">
        <v>97</v>
      </c>
      <c r="B104" s="27">
        <v>9</v>
      </c>
      <c r="C104" s="27" t="s">
        <v>482</v>
      </c>
      <c r="D104" s="27" t="s">
        <v>720</v>
      </c>
      <c r="E104" s="27" t="s">
        <v>730</v>
      </c>
      <c r="F104" s="28" t="s">
        <v>731</v>
      </c>
      <c r="G104" s="27">
        <v>1.5</v>
      </c>
      <c r="H104" s="27"/>
      <c r="I104" s="27" t="s">
        <v>471</v>
      </c>
      <c r="J104" s="27">
        <v>0</v>
      </c>
      <c r="K104" s="27"/>
      <c r="L104" s="27"/>
      <c r="M104" s="27"/>
    </row>
    <row r="105" spans="1:13" ht="24" customHeight="1" x14ac:dyDescent="0.25">
      <c r="A105" s="26" t="s">
        <v>732</v>
      </c>
      <c r="B105" s="26">
        <v>9</v>
      </c>
      <c r="C105" s="26" t="s">
        <v>486</v>
      </c>
      <c r="D105" s="26" t="s">
        <v>720</v>
      </c>
      <c r="E105" s="26" t="s">
        <v>733</v>
      </c>
      <c r="F105" s="3" t="s">
        <v>734</v>
      </c>
      <c r="G105" s="26">
        <v>1.5</v>
      </c>
      <c r="H105" s="26"/>
      <c r="I105" s="26" t="s">
        <v>471</v>
      </c>
      <c r="J105" s="26">
        <v>0</v>
      </c>
      <c r="K105" s="26"/>
      <c r="L105" s="26"/>
      <c r="M105" s="26"/>
    </row>
    <row r="106" spans="1:13" ht="24" customHeight="1" x14ac:dyDescent="0.25">
      <c r="A106" s="27" t="s">
        <v>732</v>
      </c>
      <c r="B106" s="27">
        <v>9</v>
      </c>
      <c r="C106" s="27" t="s">
        <v>486</v>
      </c>
      <c r="D106" s="27" t="s">
        <v>720</v>
      </c>
      <c r="E106" s="27" t="s">
        <v>723</v>
      </c>
      <c r="F106" s="28" t="s">
        <v>735</v>
      </c>
      <c r="G106" s="27">
        <v>1.5</v>
      </c>
      <c r="H106" s="27"/>
      <c r="I106" s="27" t="s">
        <v>471</v>
      </c>
      <c r="J106" s="27">
        <v>0</v>
      </c>
      <c r="K106" s="27"/>
      <c r="L106" s="27"/>
      <c r="M106" s="27"/>
    </row>
    <row r="107" spans="1:13" x14ac:dyDescent="0.25">
      <c r="A107" s="26" t="s">
        <v>736</v>
      </c>
      <c r="B107" s="26">
        <v>9</v>
      </c>
      <c r="C107" s="26" t="s">
        <v>492</v>
      </c>
      <c r="D107" s="26" t="s">
        <v>720</v>
      </c>
      <c r="E107" s="26" t="s">
        <v>737</v>
      </c>
      <c r="F107" s="3" t="s">
        <v>738</v>
      </c>
      <c r="G107" s="26">
        <v>1.5</v>
      </c>
      <c r="H107" s="26"/>
      <c r="I107" s="26" t="s">
        <v>471</v>
      </c>
      <c r="J107" s="26">
        <v>0</v>
      </c>
      <c r="K107" s="26"/>
      <c r="L107" s="26"/>
      <c r="M107" s="26"/>
    </row>
    <row r="108" spans="1:13" x14ac:dyDescent="0.25">
      <c r="A108" s="27" t="s">
        <v>736</v>
      </c>
      <c r="B108" s="27">
        <v>9</v>
      </c>
      <c r="C108" s="27" t="s">
        <v>492</v>
      </c>
      <c r="D108" s="27" t="s">
        <v>720</v>
      </c>
      <c r="E108" s="27" t="s">
        <v>723</v>
      </c>
      <c r="F108" s="28" t="s">
        <v>739</v>
      </c>
      <c r="G108" s="27">
        <v>1.5</v>
      </c>
      <c r="H108" s="27"/>
      <c r="I108" s="27" t="s">
        <v>471</v>
      </c>
      <c r="J108" s="27">
        <v>0</v>
      </c>
      <c r="K108" s="27"/>
      <c r="L108" s="27"/>
      <c r="M108" s="27"/>
    </row>
    <row r="109" spans="1:13" x14ac:dyDescent="0.25">
      <c r="A109" s="26" t="s">
        <v>740</v>
      </c>
      <c r="B109" s="26">
        <v>9</v>
      </c>
      <c r="C109" s="26" t="s">
        <v>498</v>
      </c>
      <c r="D109" s="26" t="s">
        <v>720</v>
      </c>
      <c r="E109" s="26" t="s">
        <v>741</v>
      </c>
      <c r="F109" s="3" t="s">
        <v>742</v>
      </c>
      <c r="G109" s="26">
        <v>1.5</v>
      </c>
      <c r="H109" s="26"/>
      <c r="I109" s="26" t="s">
        <v>471</v>
      </c>
      <c r="J109" s="26">
        <v>0</v>
      </c>
      <c r="K109" s="26"/>
      <c r="L109" s="26"/>
      <c r="M109" s="26"/>
    </row>
    <row r="110" spans="1:13" x14ac:dyDescent="0.25">
      <c r="A110" s="27" t="s">
        <v>740</v>
      </c>
      <c r="B110" s="27">
        <v>9</v>
      </c>
      <c r="C110" s="27" t="s">
        <v>498</v>
      </c>
      <c r="D110" s="27" t="s">
        <v>508</v>
      </c>
      <c r="E110" s="27" t="s">
        <v>743</v>
      </c>
      <c r="F110" s="28" t="s">
        <v>744</v>
      </c>
      <c r="G110" s="27">
        <v>1.5</v>
      </c>
      <c r="H110" s="27"/>
      <c r="I110" s="27" t="s">
        <v>471</v>
      </c>
      <c r="J110" s="27">
        <v>0</v>
      </c>
      <c r="K110" s="27"/>
      <c r="L110" s="27"/>
      <c r="M110" s="27"/>
    </row>
    <row r="111" spans="1:13" x14ac:dyDescent="0.25">
      <c r="A111" s="26" t="s">
        <v>745</v>
      </c>
      <c r="B111" s="26">
        <v>9</v>
      </c>
      <c r="C111" s="26" t="s">
        <v>505</v>
      </c>
      <c r="D111" s="26" t="s">
        <v>720</v>
      </c>
      <c r="E111" s="26" t="s">
        <v>746</v>
      </c>
      <c r="F111" s="3" t="s">
        <v>747</v>
      </c>
      <c r="G111" s="26">
        <v>2</v>
      </c>
      <c r="H111" s="26"/>
      <c r="I111" s="26" t="s">
        <v>471</v>
      </c>
      <c r="J111" s="26">
        <v>0</v>
      </c>
      <c r="K111" s="26"/>
      <c r="L111" s="26"/>
      <c r="M111" s="26"/>
    </row>
    <row r="112" spans="1:13" x14ac:dyDescent="0.25">
      <c r="A112" s="27" t="s">
        <v>748</v>
      </c>
      <c r="B112" s="27">
        <v>10</v>
      </c>
      <c r="C112" s="27" t="s">
        <v>467</v>
      </c>
      <c r="D112" s="27" t="s">
        <v>749</v>
      </c>
      <c r="E112" s="27" t="s">
        <v>750</v>
      </c>
      <c r="F112" s="28" t="s">
        <v>751</v>
      </c>
      <c r="G112" s="27">
        <v>1.5</v>
      </c>
      <c r="H112" s="27"/>
      <c r="I112" s="27" t="s">
        <v>471</v>
      </c>
      <c r="J112" s="27">
        <v>0</v>
      </c>
      <c r="K112" s="27"/>
      <c r="L112" s="27"/>
      <c r="M112" s="27"/>
    </row>
    <row r="113" spans="1:13" ht="24" customHeight="1" x14ac:dyDescent="0.25">
      <c r="A113" s="26" t="s">
        <v>748</v>
      </c>
      <c r="B113" s="26">
        <v>10</v>
      </c>
      <c r="C113" s="26" t="s">
        <v>467</v>
      </c>
      <c r="D113" s="26" t="s">
        <v>749</v>
      </c>
      <c r="E113" s="26" t="s">
        <v>752</v>
      </c>
      <c r="F113" s="3" t="s">
        <v>753</v>
      </c>
      <c r="G113" s="26">
        <v>1.5</v>
      </c>
      <c r="H113" s="26"/>
      <c r="I113" s="26" t="s">
        <v>471</v>
      </c>
      <c r="J113" s="26">
        <v>0</v>
      </c>
      <c r="K113" s="26"/>
      <c r="L113" s="26"/>
      <c r="M113" s="26"/>
    </row>
    <row r="114" spans="1:13" ht="24" customHeight="1" x14ac:dyDescent="0.25">
      <c r="A114" s="27" t="s">
        <v>754</v>
      </c>
      <c r="B114" s="27">
        <v>10</v>
      </c>
      <c r="C114" s="27" t="s">
        <v>475</v>
      </c>
      <c r="D114" s="27" t="s">
        <v>749</v>
      </c>
      <c r="E114" s="27" t="s">
        <v>755</v>
      </c>
      <c r="F114" s="28" t="s">
        <v>756</v>
      </c>
      <c r="G114" s="27">
        <v>2</v>
      </c>
      <c r="H114" s="27"/>
      <c r="I114" s="27" t="s">
        <v>471</v>
      </c>
      <c r="J114" s="27">
        <v>0</v>
      </c>
      <c r="K114" s="27"/>
      <c r="L114" s="27"/>
      <c r="M114" s="27"/>
    </row>
    <row r="115" spans="1:13" x14ac:dyDescent="0.25">
      <c r="A115" s="26" t="s">
        <v>754</v>
      </c>
      <c r="B115" s="26">
        <v>10</v>
      </c>
      <c r="C115" s="26" t="s">
        <v>475</v>
      </c>
      <c r="D115" s="26" t="s">
        <v>749</v>
      </c>
      <c r="E115" s="26" t="s">
        <v>757</v>
      </c>
      <c r="F115" s="3" t="s">
        <v>758</v>
      </c>
      <c r="G115" s="26">
        <v>2</v>
      </c>
      <c r="H115" s="26"/>
      <c r="I115" s="26" t="s">
        <v>471</v>
      </c>
      <c r="J115" s="26">
        <v>0</v>
      </c>
      <c r="K115" s="26"/>
      <c r="L115" s="26"/>
      <c r="M115" s="26"/>
    </row>
    <row r="116" spans="1:13" x14ac:dyDescent="0.25">
      <c r="A116" s="27" t="s">
        <v>759</v>
      </c>
      <c r="B116" s="27">
        <v>10</v>
      </c>
      <c r="C116" s="27" t="s">
        <v>482</v>
      </c>
      <c r="D116" s="27" t="s">
        <v>749</v>
      </c>
      <c r="E116" s="27" t="s">
        <v>522</v>
      </c>
      <c r="F116" s="28" t="s">
        <v>760</v>
      </c>
      <c r="G116" s="27">
        <v>1.5</v>
      </c>
      <c r="H116" s="27"/>
      <c r="I116" s="27" t="s">
        <v>471</v>
      </c>
      <c r="J116" s="27">
        <v>0</v>
      </c>
      <c r="K116" s="27"/>
      <c r="L116" s="27"/>
      <c r="M116" s="27"/>
    </row>
    <row r="117" spans="1:13" x14ac:dyDescent="0.25">
      <c r="A117" s="26" t="s">
        <v>761</v>
      </c>
      <c r="B117" s="26">
        <v>10</v>
      </c>
      <c r="C117" s="26" t="s">
        <v>486</v>
      </c>
      <c r="D117" s="26" t="s">
        <v>749</v>
      </c>
      <c r="E117" s="26" t="s">
        <v>762</v>
      </c>
      <c r="F117" s="3" t="s">
        <v>763</v>
      </c>
      <c r="G117" s="26">
        <v>1.5</v>
      </c>
      <c r="H117" s="26"/>
      <c r="I117" s="26" t="s">
        <v>471</v>
      </c>
      <c r="J117" s="26">
        <v>0</v>
      </c>
      <c r="K117" s="26"/>
      <c r="L117" s="26"/>
      <c r="M117" s="26"/>
    </row>
    <row r="118" spans="1:13" x14ac:dyDescent="0.25">
      <c r="A118" s="27" t="s">
        <v>761</v>
      </c>
      <c r="B118" s="27">
        <v>10</v>
      </c>
      <c r="C118" s="27" t="s">
        <v>486</v>
      </c>
      <c r="D118" s="27" t="s">
        <v>749</v>
      </c>
      <c r="E118" s="27" t="s">
        <v>489</v>
      </c>
      <c r="F118" s="28" t="s">
        <v>764</v>
      </c>
      <c r="G118" s="27">
        <v>1.5</v>
      </c>
      <c r="H118" s="27"/>
      <c r="I118" s="27" t="s">
        <v>471</v>
      </c>
      <c r="J118" s="27">
        <v>0</v>
      </c>
      <c r="K118" s="27"/>
      <c r="L118" s="27"/>
      <c r="M118" s="27"/>
    </row>
    <row r="119" spans="1:13" x14ac:dyDescent="0.25">
      <c r="A119" s="26" t="s">
        <v>765</v>
      </c>
      <c r="B119" s="26">
        <v>10</v>
      </c>
      <c r="C119" s="26" t="s">
        <v>492</v>
      </c>
      <c r="D119" s="26" t="s">
        <v>749</v>
      </c>
      <c r="E119" s="26" t="s">
        <v>766</v>
      </c>
      <c r="F119" s="3" t="s">
        <v>767</v>
      </c>
      <c r="G119" s="26">
        <v>1.5</v>
      </c>
      <c r="H119" s="26"/>
      <c r="I119" s="26" t="s">
        <v>471</v>
      </c>
      <c r="J119" s="26">
        <v>0</v>
      </c>
      <c r="K119" s="26"/>
      <c r="L119" s="26"/>
      <c r="M119" s="26"/>
    </row>
    <row r="120" spans="1:13" x14ac:dyDescent="0.25">
      <c r="A120" s="27" t="s">
        <v>765</v>
      </c>
      <c r="B120" s="27">
        <v>10</v>
      </c>
      <c r="C120" s="27" t="s">
        <v>492</v>
      </c>
      <c r="D120" s="27" t="s">
        <v>749</v>
      </c>
      <c r="E120" s="27" t="s">
        <v>489</v>
      </c>
      <c r="F120" s="28" t="s">
        <v>768</v>
      </c>
      <c r="G120" s="27">
        <v>1.5</v>
      </c>
      <c r="H120" s="27"/>
      <c r="I120" s="27" t="s">
        <v>471</v>
      </c>
      <c r="J120" s="27">
        <v>0</v>
      </c>
      <c r="K120" s="27"/>
      <c r="L120" s="27"/>
      <c r="M120" s="27"/>
    </row>
    <row r="121" spans="1:13" ht="24" customHeight="1" x14ac:dyDescent="0.25">
      <c r="A121" s="26" t="s">
        <v>769</v>
      </c>
      <c r="B121" s="26">
        <v>10</v>
      </c>
      <c r="C121" s="26" t="s">
        <v>498</v>
      </c>
      <c r="D121" s="26" t="s">
        <v>749</v>
      </c>
      <c r="E121" s="26" t="s">
        <v>770</v>
      </c>
      <c r="F121" s="3" t="s">
        <v>771</v>
      </c>
      <c r="G121" s="26">
        <v>1.5</v>
      </c>
      <c r="H121" s="26"/>
      <c r="I121" s="26" t="s">
        <v>471</v>
      </c>
      <c r="J121" s="26">
        <v>0</v>
      </c>
      <c r="K121" s="26"/>
      <c r="L121" s="26"/>
      <c r="M121" s="26"/>
    </row>
    <row r="122" spans="1:13" x14ac:dyDescent="0.25">
      <c r="A122" s="27" t="s">
        <v>769</v>
      </c>
      <c r="B122" s="27">
        <v>10</v>
      </c>
      <c r="C122" s="27" t="s">
        <v>498</v>
      </c>
      <c r="D122" s="27" t="s">
        <v>508</v>
      </c>
      <c r="E122" s="27" t="s">
        <v>772</v>
      </c>
      <c r="F122" s="28" t="s">
        <v>773</v>
      </c>
      <c r="G122" s="27">
        <v>1.5</v>
      </c>
      <c r="H122" s="27"/>
      <c r="I122" s="27" t="s">
        <v>471</v>
      </c>
      <c r="J122" s="27">
        <v>0</v>
      </c>
      <c r="K122" s="27"/>
      <c r="L122" s="27"/>
      <c r="M122" s="27"/>
    </row>
    <row r="123" spans="1:13" ht="24" customHeight="1" x14ac:dyDescent="0.25">
      <c r="A123" s="26" t="s">
        <v>774</v>
      </c>
      <c r="B123" s="26">
        <v>10</v>
      </c>
      <c r="C123" s="26" t="s">
        <v>505</v>
      </c>
      <c r="D123" s="26" t="s">
        <v>749</v>
      </c>
      <c r="E123" s="26" t="s">
        <v>775</v>
      </c>
      <c r="F123" s="3" t="s">
        <v>776</v>
      </c>
      <c r="G123" s="26">
        <v>2</v>
      </c>
      <c r="H123" s="26"/>
      <c r="I123" s="26" t="s">
        <v>471</v>
      </c>
      <c r="J123" s="26">
        <v>0</v>
      </c>
      <c r="K123" s="26"/>
      <c r="L123" s="26"/>
      <c r="M123" s="26"/>
    </row>
    <row r="124" spans="1:13" ht="24" customHeight="1" x14ac:dyDescent="0.25">
      <c r="A124" s="27" t="s">
        <v>777</v>
      </c>
      <c r="B124" s="27">
        <v>11</v>
      </c>
      <c r="C124" s="27" t="s">
        <v>467</v>
      </c>
      <c r="D124" s="27" t="s">
        <v>778</v>
      </c>
      <c r="E124" s="27" t="s">
        <v>779</v>
      </c>
      <c r="F124" s="28" t="s">
        <v>780</v>
      </c>
      <c r="G124" s="27">
        <v>1.5</v>
      </c>
      <c r="H124" s="27"/>
      <c r="I124" s="27" t="s">
        <v>471</v>
      </c>
      <c r="J124" s="27">
        <v>0</v>
      </c>
      <c r="K124" s="27"/>
      <c r="L124" s="27"/>
      <c r="M124" s="27"/>
    </row>
    <row r="125" spans="1:13" ht="24" customHeight="1" x14ac:dyDescent="0.25">
      <c r="A125" s="26" t="s">
        <v>777</v>
      </c>
      <c r="B125" s="26">
        <v>11</v>
      </c>
      <c r="C125" s="26" t="s">
        <v>467</v>
      </c>
      <c r="D125" s="26" t="s">
        <v>778</v>
      </c>
      <c r="E125" s="26" t="s">
        <v>781</v>
      </c>
      <c r="F125" s="3" t="s">
        <v>782</v>
      </c>
      <c r="G125" s="26">
        <v>1.5</v>
      </c>
      <c r="H125" s="26"/>
      <c r="I125" s="26" t="s">
        <v>471</v>
      </c>
      <c r="J125" s="26">
        <v>0</v>
      </c>
      <c r="K125" s="26"/>
      <c r="L125" s="26"/>
      <c r="M125" s="26"/>
    </row>
    <row r="126" spans="1:13" x14ac:dyDescent="0.25">
      <c r="A126" s="27" t="s">
        <v>783</v>
      </c>
      <c r="B126" s="27">
        <v>11</v>
      </c>
      <c r="C126" s="27" t="s">
        <v>475</v>
      </c>
      <c r="D126" s="27" t="s">
        <v>778</v>
      </c>
      <c r="E126" s="27" t="s">
        <v>784</v>
      </c>
      <c r="F126" s="28" t="s">
        <v>785</v>
      </c>
      <c r="G126" s="27">
        <v>2</v>
      </c>
      <c r="H126" s="27"/>
      <c r="I126" s="27" t="s">
        <v>471</v>
      </c>
      <c r="J126" s="27">
        <v>0</v>
      </c>
      <c r="K126" s="27"/>
      <c r="L126" s="27"/>
      <c r="M126" s="27"/>
    </row>
    <row r="127" spans="1:13" x14ac:dyDescent="0.25">
      <c r="A127" s="26" t="s">
        <v>783</v>
      </c>
      <c r="B127" s="26">
        <v>11</v>
      </c>
      <c r="C127" s="26" t="s">
        <v>475</v>
      </c>
      <c r="D127" s="26" t="s">
        <v>778</v>
      </c>
      <c r="E127" s="26" t="s">
        <v>786</v>
      </c>
      <c r="F127" s="3" t="s">
        <v>787</v>
      </c>
      <c r="G127" s="26">
        <v>2</v>
      </c>
      <c r="H127" s="26"/>
      <c r="I127" s="26" t="s">
        <v>471</v>
      </c>
      <c r="J127" s="26">
        <v>0</v>
      </c>
      <c r="K127" s="26"/>
      <c r="L127" s="26"/>
      <c r="M127" s="26"/>
    </row>
    <row r="128" spans="1:13" x14ac:dyDescent="0.25">
      <c r="A128" s="27" t="s">
        <v>788</v>
      </c>
      <c r="B128" s="27">
        <v>11</v>
      </c>
      <c r="C128" s="27" t="s">
        <v>482</v>
      </c>
      <c r="D128" s="27" t="s">
        <v>778</v>
      </c>
      <c r="E128" s="27" t="s">
        <v>522</v>
      </c>
      <c r="F128" s="28" t="s">
        <v>789</v>
      </c>
      <c r="G128" s="27">
        <v>1.5</v>
      </c>
      <c r="H128" s="27"/>
      <c r="I128" s="27" t="s">
        <v>471</v>
      </c>
      <c r="J128" s="27">
        <v>0</v>
      </c>
      <c r="K128" s="27"/>
      <c r="L128" s="27"/>
      <c r="M128" s="27"/>
    </row>
    <row r="129" spans="1:13" x14ac:dyDescent="0.25">
      <c r="A129" s="26" t="s">
        <v>790</v>
      </c>
      <c r="B129" s="26">
        <v>11</v>
      </c>
      <c r="C129" s="26" t="s">
        <v>486</v>
      </c>
      <c r="D129" s="26" t="s">
        <v>778</v>
      </c>
      <c r="E129" s="26" t="s">
        <v>791</v>
      </c>
      <c r="F129" s="3" t="s">
        <v>792</v>
      </c>
      <c r="G129" s="26">
        <v>1.5</v>
      </c>
      <c r="H129" s="26"/>
      <c r="I129" s="26" t="s">
        <v>471</v>
      </c>
      <c r="J129" s="26">
        <v>0</v>
      </c>
      <c r="K129" s="26"/>
      <c r="L129" s="26"/>
      <c r="M129" s="26"/>
    </row>
    <row r="130" spans="1:13" x14ac:dyDescent="0.25">
      <c r="A130" s="27" t="s">
        <v>790</v>
      </c>
      <c r="B130" s="27">
        <v>11</v>
      </c>
      <c r="C130" s="27" t="s">
        <v>486</v>
      </c>
      <c r="D130" s="27" t="s">
        <v>778</v>
      </c>
      <c r="E130" s="27" t="s">
        <v>793</v>
      </c>
      <c r="F130" s="28" t="s">
        <v>794</v>
      </c>
      <c r="G130" s="27">
        <v>1.5</v>
      </c>
      <c r="H130" s="27"/>
      <c r="I130" s="27" t="s">
        <v>471</v>
      </c>
      <c r="J130" s="27">
        <v>0</v>
      </c>
      <c r="K130" s="27"/>
      <c r="L130" s="27"/>
      <c r="M130" s="27"/>
    </row>
    <row r="131" spans="1:13" x14ac:dyDescent="0.25">
      <c r="A131" s="26" t="s">
        <v>795</v>
      </c>
      <c r="B131" s="26">
        <v>11</v>
      </c>
      <c r="C131" s="26" t="s">
        <v>492</v>
      </c>
      <c r="D131" s="26" t="s">
        <v>778</v>
      </c>
      <c r="E131" s="26" t="s">
        <v>796</v>
      </c>
      <c r="F131" s="3" t="s">
        <v>797</v>
      </c>
      <c r="G131" s="26">
        <v>1.5</v>
      </c>
      <c r="H131" s="26"/>
      <c r="I131" s="26" t="s">
        <v>471</v>
      </c>
      <c r="J131" s="26">
        <v>0</v>
      </c>
      <c r="K131" s="26"/>
      <c r="L131" s="26"/>
      <c r="M131" s="26"/>
    </row>
    <row r="132" spans="1:13" x14ac:dyDescent="0.25">
      <c r="A132" s="27" t="s">
        <v>795</v>
      </c>
      <c r="B132" s="27">
        <v>11</v>
      </c>
      <c r="C132" s="27" t="s">
        <v>492</v>
      </c>
      <c r="D132" s="27" t="s">
        <v>778</v>
      </c>
      <c r="E132" s="27" t="s">
        <v>798</v>
      </c>
      <c r="F132" s="28" t="s">
        <v>799</v>
      </c>
      <c r="G132" s="27">
        <v>1.5</v>
      </c>
      <c r="H132" s="27"/>
      <c r="I132" s="27" t="s">
        <v>471</v>
      </c>
      <c r="J132" s="27">
        <v>0</v>
      </c>
      <c r="K132" s="27"/>
      <c r="L132" s="27"/>
      <c r="M132" s="27"/>
    </row>
    <row r="133" spans="1:13" x14ac:dyDescent="0.25">
      <c r="A133" s="26" t="s">
        <v>800</v>
      </c>
      <c r="B133" s="26">
        <v>11</v>
      </c>
      <c r="C133" s="26" t="s">
        <v>498</v>
      </c>
      <c r="D133" s="26" t="s">
        <v>778</v>
      </c>
      <c r="E133" s="26" t="s">
        <v>801</v>
      </c>
      <c r="F133" s="3" t="s">
        <v>802</v>
      </c>
      <c r="G133" s="26">
        <v>1.5</v>
      </c>
      <c r="H133" s="26"/>
      <c r="I133" s="26" t="s">
        <v>471</v>
      </c>
      <c r="J133" s="26">
        <v>0</v>
      </c>
      <c r="K133" s="26"/>
      <c r="L133" s="26"/>
      <c r="M133" s="26"/>
    </row>
    <row r="134" spans="1:13" x14ac:dyDescent="0.25">
      <c r="A134" s="27" t="s">
        <v>800</v>
      </c>
      <c r="B134" s="27">
        <v>11</v>
      </c>
      <c r="C134" s="27" t="s">
        <v>498</v>
      </c>
      <c r="D134" s="27" t="s">
        <v>508</v>
      </c>
      <c r="E134" s="27" t="s">
        <v>803</v>
      </c>
      <c r="F134" s="28" t="s">
        <v>804</v>
      </c>
      <c r="G134" s="27">
        <v>1.5</v>
      </c>
      <c r="H134" s="27"/>
      <c r="I134" s="27" t="s">
        <v>471</v>
      </c>
      <c r="J134" s="27">
        <v>0</v>
      </c>
      <c r="K134" s="27"/>
      <c r="L134" s="27"/>
      <c r="M134" s="27"/>
    </row>
    <row r="135" spans="1:13" ht="24" customHeight="1" x14ac:dyDescent="0.25">
      <c r="A135" s="26" t="s">
        <v>805</v>
      </c>
      <c r="B135" s="26">
        <v>11</v>
      </c>
      <c r="C135" s="26" t="s">
        <v>505</v>
      </c>
      <c r="D135" s="26" t="s">
        <v>778</v>
      </c>
      <c r="E135" s="26" t="s">
        <v>806</v>
      </c>
      <c r="F135" s="3" t="s">
        <v>807</v>
      </c>
      <c r="G135" s="26">
        <v>2</v>
      </c>
      <c r="H135" s="26"/>
      <c r="I135" s="26" t="s">
        <v>471</v>
      </c>
      <c r="J135" s="26">
        <v>0</v>
      </c>
      <c r="K135" s="26"/>
      <c r="L135" s="26"/>
      <c r="M135" s="26"/>
    </row>
    <row r="136" spans="1:13" x14ac:dyDescent="0.25">
      <c r="A136" s="27" t="s">
        <v>808</v>
      </c>
      <c r="B136" s="27">
        <v>12</v>
      </c>
      <c r="C136" s="27" t="s">
        <v>467</v>
      </c>
      <c r="D136" s="27" t="s">
        <v>809</v>
      </c>
      <c r="E136" s="27" t="s">
        <v>810</v>
      </c>
      <c r="F136" s="28" t="s">
        <v>811</v>
      </c>
      <c r="G136" s="27">
        <v>1.5</v>
      </c>
      <c r="H136" s="27"/>
      <c r="I136" s="27" t="s">
        <v>471</v>
      </c>
      <c r="J136" s="27">
        <v>0</v>
      </c>
      <c r="K136" s="27"/>
      <c r="L136" s="27"/>
      <c r="M136" s="27"/>
    </row>
    <row r="137" spans="1:13" x14ac:dyDescent="0.25">
      <c r="A137" s="26" t="s">
        <v>808</v>
      </c>
      <c r="B137" s="26">
        <v>12</v>
      </c>
      <c r="C137" s="26" t="s">
        <v>467</v>
      </c>
      <c r="D137" s="26" t="s">
        <v>809</v>
      </c>
      <c r="E137" s="26" t="s">
        <v>812</v>
      </c>
      <c r="F137" s="3" t="s">
        <v>813</v>
      </c>
      <c r="G137" s="26">
        <v>1.5</v>
      </c>
      <c r="H137" s="26"/>
      <c r="I137" s="26" t="s">
        <v>471</v>
      </c>
      <c r="J137" s="26">
        <v>0</v>
      </c>
      <c r="K137" s="26"/>
      <c r="L137" s="26"/>
      <c r="M137" s="26"/>
    </row>
    <row r="138" spans="1:13" x14ac:dyDescent="0.25">
      <c r="A138" s="27" t="s">
        <v>814</v>
      </c>
      <c r="B138" s="27">
        <v>12</v>
      </c>
      <c r="C138" s="27" t="s">
        <v>475</v>
      </c>
      <c r="D138" s="27" t="s">
        <v>809</v>
      </c>
      <c r="E138" s="27" t="s">
        <v>815</v>
      </c>
      <c r="F138" s="28" t="s">
        <v>816</v>
      </c>
      <c r="G138" s="27">
        <v>2</v>
      </c>
      <c r="H138" s="27"/>
      <c r="I138" s="27" t="s">
        <v>471</v>
      </c>
      <c r="J138" s="27">
        <v>0</v>
      </c>
      <c r="K138" s="27"/>
      <c r="L138" s="27"/>
      <c r="M138" s="27"/>
    </row>
    <row r="139" spans="1:13" x14ac:dyDescent="0.25">
      <c r="A139" s="26" t="s">
        <v>814</v>
      </c>
      <c r="B139" s="26">
        <v>12</v>
      </c>
      <c r="C139" s="26" t="s">
        <v>475</v>
      </c>
      <c r="D139" s="26" t="s">
        <v>809</v>
      </c>
      <c r="E139" s="26" t="s">
        <v>812</v>
      </c>
      <c r="F139" s="3" t="s">
        <v>817</v>
      </c>
      <c r="G139" s="26">
        <v>2</v>
      </c>
      <c r="H139" s="26"/>
      <c r="I139" s="26" t="s">
        <v>471</v>
      </c>
      <c r="J139" s="26">
        <v>0</v>
      </c>
      <c r="K139" s="26"/>
      <c r="L139" s="26"/>
      <c r="M139" s="26"/>
    </row>
    <row r="140" spans="1:13" x14ac:dyDescent="0.25">
      <c r="A140" s="27" t="s">
        <v>101</v>
      </c>
      <c r="B140" s="27">
        <v>12</v>
      </c>
      <c r="C140" s="27" t="s">
        <v>482</v>
      </c>
      <c r="D140" s="27" t="s">
        <v>809</v>
      </c>
      <c r="E140" s="27" t="s">
        <v>522</v>
      </c>
      <c r="F140" s="28" t="s">
        <v>818</v>
      </c>
      <c r="G140" s="27">
        <v>1.5</v>
      </c>
      <c r="H140" s="27"/>
      <c r="I140" s="27" t="s">
        <v>471</v>
      </c>
      <c r="J140" s="27">
        <v>0</v>
      </c>
      <c r="K140" s="27"/>
      <c r="L140" s="27"/>
      <c r="M140" s="27"/>
    </row>
    <row r="141" spans="1:13" x14ac:dyDescent="0.25">
      <c r="A141" s="26" t="s">
        <v>819</v>
      </c>
      <c r="B141" s="26">
        <v>12</v>
      </c>
      <c r="C141" s="26" t="s">
        <v>486</v>
      </c>
      <c r="D141" s="26" t="s">
        <v>809</v>
      </c>
      <c r="E141" s="26" t="s">
        <v>820</v>
      </c>
      <c r="F141" s="3" t="s">
        <v>821</v>
      </c>
      <c r="G141" s="26">
        <v>1.5</v>
      </c>
      <c r="H141" s="26"/>
      <c r="I141" s="26" t="s">
        <v>471</v>
      </c>
      <c r="J141" s="26">
        <v>0</v>
      </c>
      <c r="K141" s="26"/>
      <c r="L141" s="26"/>
      <c r="M141" s="26"/>
    </row>
    <row r="142" spans="1:13" x14ac:dyDescent="0.25">
      <c r="A142" s="27" t="s">
        <v>819</v>
      </c>
      <c r="B142" s="27">
        <v>12</v>
      </c>
      <c r="C142" s="27" t="s">
        <v>486</v>
      </c>
      <c r="D142" s="27" t="s">
        <v>809</v>
      </c>
      <c r="E142" s="27" t="s">
        <v>822</v>
      </c>
      <c r="F142" s="28" t="s">
        <v>823</v>
      </c>
      <c r="G142" s="27">
        <v>1.5</v>
      </c>
      <c r="H142" s="27"/>
      <c r="I142" s="27" t="s">
        <v>471</v>
      </c>
      <c r="J142" s="27">
        <v>0</v>
      </c>
      <c r="K142" s="27"/>
      <c r="L142" s="27"/>
      <c r="M142" s="27"/>
    </row>
    <row r="143" spans="1:13" x14ac:dyDescent="0.25">
      <c r="A143" s="26" t="s">
        <v>824</v>
      </c>
      <c r="B143" s="26">
        <v>12</v>
      </c>
      <c r="C143" s="26" t="s">
        <v>492</v>
      </c>
      <c r="D143" s="26" t="s">
        <v>809</v>
      </c>
      <c r="E143" s="26" t="s">
        <v>825</v>
      </c>
      <c r="F143" s="3" t="s">
        <v>826</v>
      </c>
      <c r="G143" s="26">
        <v>1.5</v>
      </c>
      <c r="H143" s="26"/>
      <c r="I143" s="26" t="s">
        <v>471</v>
      </c>
      <c r="J143" s="26">
        <v>0</v>
      </c>
      <c r="K143" s="26"/>
      <c r="L143" s="26"/>
      <c r="M143" s="26"/>
    </row>
    <row r="144" spans="1:13" x14ac:dyDescent="0.25">
      <c r="A144" s="27" t="s">
        <v>824</v>
      </c>
      <c r="B144" s="27">
        <v>12</v>
      </c>
      <c r="C144" s="27" t="s">
        <v>492</v>
      </c>
      <c r="D144" s="27" t="s">
        <v>809</v>
      </c>
      <c r="E144" s="27" t="s">
        <v>827</v>
      </c>
      <c r="F144" s="28" t="s">
        <v>828</v>
      </c>
      <c r="G144" s="27">
        <v>1.5</v>
      </c>
      <c r="H144" s="27"/>
      <c r="I144" s="27" t="s">
        <v>471</v>
      </c>
      <c r="J144" s="27">
        <v>0</v>
      </c>
      <c r="K144" s="27"/>
      <c r="L144" s="27"/>
      <c r="M144" s="27"/>
    </row>
    <row r="145" spans="1:13" ht="24" customHeight="1" x14ac:dyDescent="0.25">
      <c r="A145" s="26" t="s">
        <v>829</v>
      </c>
      <c r="B145" s="26">
        <v>12</v>
      </c>
      <c r="C145" s="26" t="s">
        <v>498</v>
      </c>
      <c r="D145" s="26" t="s">
        <v>809</v>
      </c>
      <c r="E145" s="26" t="s">
        <v>830</v>
      </c>
      <c r="F145" s="3" t="s">
        <v>831</v>
      </c>
      <c r="G145" s="26">
        <v>1.5</v>
      </c>
      <c r="H145" s="26"/>
      <c r="I145" s="26" t="s">
        <v>471</v>
      </c>
      <c r="J145" s="26">
        <v>0</v>
      </c>
      <c r="K145" s="26"/>
      <c r="L145" s="26"/>
      <c r="M145" s="26"/>
    </row>
    <row r="146" spans="1:13" x14ac:dyDescent="0.25">
      <c r="A146" s="27" t="s">
        <v>829</v>
      </c>
      <c r="B146" s="27">
        <v>12</v>
      </c>
      <c r="C146" s="27" t="s">
        <v>498</v>
      </c>
      <c r="D146" s="27" t="s">
        <v>508</v>
      </c>
      <c r="E146" s="27" t="s">
        <v>832</v>
      </c>
      <c r="F146" s="28" t="s">
        <v>833</v>
      </c>
      <c r="G146" s="27">
        <v>1.5</v>
      </c>
      <c r="H146" s="27"/>
      <c r="I146" s="27" t="s">
        <v>471</v>
      </c>
      <c r="J146" s="27">
        <v>0</v>
      </c>
      <c r="K146" s="27"/>
      <c r="L146" s="27"/>
      <c r="M146" s="27"/>
    </row>
    <row r="147" spans="1:13" x14ac:dyDescent="0.25">
      <c r="A147" s="26" t="s">
        <v>834</v>
      </c>
      <c r="B147" s="26">
        <v>12</v>
      </c>
      <c r="C147" s="26" t="s">
        <v>505</v>
      </c>
      <c r="D147" s="26" t="s">
        <v>809</v>
      </c>
      <c r="E147" s="26" t="s">
        <v>835</v>
      </c>
      <c r="F147" s="3" t="s">
        <v>836</v>
      </c>
      <c r="G147" s="26">
        <v>2</v>
      </c>
      <c r="H147" s="26"/>
      <c r="I147" s="26" t="s">
        <v>471</v>
      </c>
      <c r="J147" s="26">
        <v>0</v>
      </c>
      <c r="K147" s="26"/>
      <c r="L147" s="26"/>
      <c r="M147" s="26"/>
    </row>
    <row r="148" spans="1:13" x14ac:dyDescent="0.25">
      <c r="A148" s="27" t="s">
        <v>837</v>
      </c>
      <c r="B148" s="27">
        <v>13</v>
      </c>
      <c r="C148" s="27" t="s">
        <v>467</v>
      </c>
      <c r="D148" s="27" t="s">
        <v>838</v>
      </c>
      <c r="E148" s="27" t="s">
        <v>839</v>
      </c>
      <c r="F148" s="28" t="s">
        <v>840</v>
      </c>
      <c r="G148" s="27">
        <v>1.5</v>
      </c>
      <c r="H148" s="27"/>
      <c r="I148" s="27" t="s">
        <v>471</v>
      </c>
      <c r="J148" s="27">
        <v>0</v>
      </c>
      <c r="K148" s="27"/>
      <c r="L148" s="27"/>
      <c r="M148" s="27"/>
    </row>
    <row r="149" spans="1:13" x14ac:dyDescent="0.25">
      <c r="A149" s="26" t="s">
        <v>837</v>
      </c>
      <c r="B149" s="26">
        <v>13</v>
      </c>
      <c r="C149" s="26" t="s">
        <v>467</v>
      </c>
      <c r="D149" s="26" t="s">
        <v>838</v>
      </c>
      <c r="E149" s="26" t="s">
        <v>841</v>
      </c>
      <c r="F149" s="3" t="s">
        <v>842</v>
      </c>
      <c r="G149" s="26">
        <v>1.5</v>
      </c>
      <c r="H149" s="26"/>
      <c r="I149" s="26" t="s">
        <v>471</v>
      </c>
      <c r="J149" s="26">
        <v>0</v>
      </c>
      <c r="K149" s="26"/>
      <c r="L149" s="26"/>
      <c r="M149" s="26"/>
    </row>
    <row r="150" spans="1:13" x14ac:dyDescent="0.25">
      <c r="A150" s="27" t="s">
        <v>843</v>
      </c>
      <c r="B150" s="27">
        <v>13</v>
      </c>
      <c r="C150" s="27" t="s">
        <v>475</v>
      </c>
      <c r="D150" s="27" t="s">
        <v>838</v>
      </c>
      <c r="E150" s="27" t="s">
        <v>844</v>
      </c>
      <c r="F150" s="28" t="s">
        <v>845</v>
      </c>
      <c r="G150" s="27">
        <v>2</v>
      </c>
      <c r="H150" s="27"/>
      <c r="I150" s="27" t="s">
        <v>471</v>
      </c>
      <c r="J150" s="27">
        <v>0</v>
      </c>
      <c r="K150" s="27"/>
      <c r="L150" s="27"/>
      <c r="M150" s="27"/>
    </row>
    <row r="151" spans="1:13" ht="24" customHeight="1" x14ac:dyDescent="0.25">
      <c r="A151" s="26" t="s">
        <v>843</v>
      </c>
      <c r="B151" s="26">
        <v>13</v>
      </c>
      <c r="C151" s="26" t="s">
        <v>475</v>
      </c>
      <c r="D151" s="26" t="s">
        <v>838</v>
      </c>
      <c r="E151" s="26" t="s">
        <v>846</v>
      </c>
      <c r="F151" s="3" t="s">
        <v>847</v>
      </c>
      <c r="G151" s="26">
        <v>2</v>
      </c>
      <c r="H151" s="26"/>
      <c r="I151" s="26" t="s">
        <v>471</v>
      </c>
      <c r="J151" s="26">
        <v>0</v>
      </c>
      <c r="K151" s="26"/>
      <c r="L151" s="26"/>
      <c r="M151" s="26"/>
    </row>
    <row r="152" spans="1:13" x14ac:dyDescent="0.25">
      <c r="A152" s="27" t="s">
        <v>848</v>
      </c>
      <c r="B152" s="27">
        <v>13</v>
      </c>
      <c r="C152" s="27" t="s">
        <v>482</v>
      </c>
      <c r="D152" s="27" t="s">
        <v>838</v>
      </c>
      <c r="E152" s="27" t="s">
        <v>522</v>
      </c>
      <c r="F152" s="28" t="s">
        <v>849</v>
      </c>
      <c r="G152" s="27">
        <v>1.5</v>
      </c>
      <c r="H152" s="27"/>
      <c r="I152" s="27" t="s">
        <v>471</v>
      </c>
      <c r="J152" s="27">
        <v>0</v>
      </c>
      <c r="K152" s="27"/>
      <c r="L152" s="27"/>
      <c r="M152" s="27"/>
    </row>
    <row r="153" spans="1:13" ht="24" customHeight="1" x14ac:dyDescent="0.25">
      <c r="A153" s="26" t="s">
        <v>850</v>
      </c>
      <c r="B153" s="26">
        <v>13</v>
      </c>
      <c r="C153" s="26" t="s">
        <v>486</v>
      </c>
      <c r="D153" s="26" t="s">
        <v>838</v>
      </c>
      <c r="E153" s="26" t="s">
        <v>851</v>
      </c>
      <c r="F153" s="3" t="s">
        <v>852</v>
      </c>
      <c r="G153" s="26">
        <v>1.5</v>
      </c>
      <c r="H153" s="26"/>
      <c r="I153" s="26" t="s">
        <v>471</v>
      </c>
      <c r="J153" s="26">
        <v>0</v>
      </c>
      <c r="K153" s="26"/>
      <c r="L153" s="26"/>
      <c r="M153" s="26"/>
    </row>
    <row r="154" spans="1:13" ht="24" customHeight="1" x14ac:dyDescent="0.25">
      <c r="A154" s="27" t="s">
        <v>850</v>
      </c>
      <c r="B154" s="27">
        <v>13</v>
      </c>
      <c r="C154" s="27" t="s">
        <v>486</v>
      </c>
      <c r="D154" s="27" t="s">
        <v>838</v>
      </c>
      <c r="E154" s="27" t="s">
        <v>853</v>
      </c>
      <c r="F154" s="28" t="s">
        <v>854</v>
      </c>
      <c r="G154" s="27">
        <v>1.5</v>
      </c>
      <c r="H154" s="27"/>
      <c r="I154" s="27" t="s">
        <v>471</v>
      </c>
      <c r="J154" s="27">
        <v>0</v>
      </c>
      <c r="K154" s="27"/>
      <c r="L154" s="27"/>
      <c r="M154" s="27"/>
    </row>
    <row r="155" spans="1:13" ht="24" customHeight="1" x14ac:dyDescent="0.25">
      <c r="A155" s="26" t="s">
        <v>855</v>
      </c>
      <c r="B155" s="26">
        <v>13</v>
      </c>
      <c r="C155" s="26" t="s">
        <v>492</v>
      </c>
      <c r="D155" s="26" t="s">
        <v>838</v>
      </c>
      <c r="E155" s="26" t="s">
        <v>856</v>
      </c>
      <c r="F155" s="3" t="s">
        <v>857</v>
      </c>
      <c r="G155" s="26">
        <v>1.5</v>
      </c>
      <c r="H155" s="26"/>
      <c r="I155" s="26" t="s">
        <v>471</v>
      </c>
      <c r="J155" s="26">
        <v>0</v>
      </c>
      <c r="K155" s="26"/>
      <c r="L155" s="26"/>
      <c r="M155" s="26"/>
    </row>
    <row r="156" spans="1:13" x14ac:dyDescent="0.25">
      <c r="A156" s="27" t="s">
        <v>855</v>
      </c>
      <c r="B156" s="27">
        <v>13</v>
      </c>
      <c r="C156" s="27" t="s">
        <v>492</v>
      </c>
      <c r="D156" s="27" t="s">
        <v>838</v>
      </c>
      <c r="E156" s="27" t="s">
        <v>858</v>
      </c>
      <c r="F156" s="28" t="s">
        <v>859</v>
      </c>
      <c r="G156" s="27">
        <v>1.5</v>
      </c>
      <c r="H156" s="27"/>
      <c r="I156" s="27" t="s">
        <v>471</v>
      </c>
      <c r="J156" s="27">
        <v>0</v>
      </c>
      <c r="K156" s="27"/>
      <c r="L156" s="27"/>
      <c r="M156" s="27"/>
    </row>
    <row r="157" spans="1:13" x14ac:dyDescent="0.25">
      <c r="A157" s="26" t="s">
        <v>860</v>
      </c>
      <c r="B157" s="26">
        <v>13</v>
      </c>
      <c r="C157" s="26" t="s">
        <v>498</v>
      </c>
      <c r="D157" s="26" t="s">
        <v>838</v>
      </c>
      <c r="E157" s="26" t="s">
        <v>861</v>
      </c>
      <c r="F157" s="3" t="s">
        <v>862</v>
      </c>
      <c r="G157" s="26">
        <v>1.5</v>
      </c>
      <c r="H157" s="26"/>
      <c r="I157" s="26" t="s">
        <v>471</v>
      </c>
      <c r="J157" s="26">
        <v>0</v>
      </c>
      <c r="K157" s="26"/>
      <c r="L157" s="26"/>
      <c r="M157" s="26"/>
    </row>
    <row r="158" spans="1:13" x14ac:dyDescent="0.25">
      <c r="A158" s="27" t="s">
        <v>860</v>
      </c>
      <c r="B158" s="27">
        <v>13</v>
      </c>
      <c r="C158" s="27" t="s">
        <v>498</v>
      </c>
      <c r="D158" s="27" t="s">
        <v>508</v>
      </c>
      <c r="E158" s="27" t="s">
        <v>863</v>
      </c>
      <c r="F158" s="28" t="s">
        <v>864</v>
      </c>
      <c r="G158" s="27">
        <v>1.5</v>
      </c>
      <c r="H158" s="27"/>
      <c r="I158" s="27" t="s">
        <v>471</v>
      </c>
      <c r="J158" s="27">
        <v>0</v>
      </c>
      <c r="K158" s="27"/>
      <c r="L158" s="27"/>
      <c r="M158" s="27"/>
    </row>
    <row r="159" spans="1:13" x14ac:dyDescent="0.25">
      <c r="A159" s="26" t="s">
        <v>865</v>
      </c>
      <c r="B159" s="26">
        <v>13</v>
      </c>
      <c r="C159" s="26" t="s">
        <v>505</v>
      </c>
      <c r="D159" s="26" t="s">
        <v>838</v>
      </c>
      <c r="E159" s="26" t="s">
        <v>866</v>
      </c>
      <c r="F159" s="3" t="s">
        <v>867</v>
      </c>
      <c r="G159" s="26">
        <v>2</v>
      </c>
      <c r="H159" s="26"/>
      <c r="I159" s="26" t="s">
        <v>471</v>
      </c>
      <c r="J159" s="26">
        <v>0</v>
      </c>
      <c r="K159" s="26"/>
      <c r="L159" s="26"/>
      <c r="M159" s="26"/>
    </row>
    <row r="160" spans="1:13" x14ac:dyDescent="0.25">
      <c r="A160" s="27" t="s">
        <v>868</v>
      </c>
      <c r="B160" s="27">
        <v>14</v>
      </c>
      <c r="C160" s="27" t="s">
        <v>467</v>
      </c>
      <c r="D160" s="27" t="s">
        <v>869</v>
      </c>
      <c r="E160" s="27" t="s">
        <v>870</v>
      </c>
      <c r="F160" s="28" t="s">
        <v>871</v>
      </c>
      <c r="G160" s="27">
        <v>1.5</v>
      </c>
      <c r="H160" s="27"/>
      <c r="I160" s="27" t="s">
        <v>471</v>
      </c>
      <c r="J160" s="27">
        <v>0</v>
      </c>
      <c r="K160" s="27"/>
      <c r="L160" s="27"/>
      <c r="M160" s="27"/>
    </row>
    <row r="161" spans="1:13" ht="24" customHeight="1" x14ac:dyDescent="0.25">
      <c r="A161" s="26" t="s">
        <v>868</v>
      </c>
      <c r="B161" s="26">
        <v>14</v>
      </c>
      <c r="C161" s="26" t="s">
        <v>467</v>
      </c>
      <c r="D161" s="26" t="s">
        <v>869</v>
      </c>
      <c r="E161" s="26" t="s">
        <v>872</v>
      </c>
      <c r="F161" s="3" t="s">
        <v>873</v>
      </c>
      <c r="G161" s="26">
        <v>1.5</v>
      </c>
      <c r="H161" s="26"/>
      <c r="I161" s="26" t="s">
        <v>471</v>
      </c>
      <c r="J161" s="26">
        <v>0</v>
      </c>
      <c r="K161" s="26"/>
      <c r="L161" s="26"/>
      <c r="M161" s="26"/>
    </row>
    <row r="162" spans="1:13" x14ac:dyDescent="0.25">
      <c r="A162" s="27" t="s">
        <v>874</v>
      </c>
      <c r="B162" s="27">
        <v>14</v>
      </c>
      <c r="C162" s="27" t="s">
        <v>475</v>
      </c>
      <c r="D162" s="27" t="s">
        <v>869</v>
      </c>
      <c r="E162" s="27" t="s">
        <v>875</v>
      </c>
      <c r="F162" s="28" t="s">
        <v>876</v>
      </c>
      <c r="G162" s="27">
        <v>2</v>
      </c>
      <c r="H162" s="27"/>
      <c r="I162" s="27" t="s">
        <v>471</v>
      </c>
      <c r="J162" s="27">
        <v>0</v>
      </c>
      <c r="K162" s="27"/>
      <c r="L162" s="27"/>
      <c r="M162" s="27"/>
    </row>
    <row r="163" spans="1:13" ht="24" customHeight="1" x14ac:dyDescent="0.25">
      <c r="A163" s="26" t="s">
        <v>874</v>
      </c>
      <c r="B163" s="26">
        <v>14</v>
      </c>
      <c r="C163" s="26" t="s">
        <v>475</v>
      </c>
      <c r="D163" s="26" t="s">
        <v>877</v>
      </c>
      <c r="E163" s="26" t="s">
        <v>878</v>
      </c>
      <c r="F163" s="3" t="s">
        <v>879</v>
      </c>
      <c r="G163" s="26">
        <v>2</v>
      </c>
      <c r="H163" s="26"/>
      <c r="I163" s="26" t="s">
        <v>471</v>
      </c>
      <c r="J163" s="26">
        <v>0</v>
      </c>
      <c r="K163" s="26"/>
      <c r="L163" s="26"/>
      <c r="M163" s="26"/>
    </row>
    <row r="164" spans="1:13" x14ac:dyDescent="0.25">
      <c r="A164" s="27" t="s">
        <v>880</v>
      </c>
      <c r="B164" s="27">
        <v>14</v>
      </c>
      <c r="C164" s="27" t="s">
        <v>482</v>
      </c>
      <c r="D164" s="27" t="s">
        <v>869</v>
      </c>
      <c r="E164" s="27" t="s">
        <v>522</v>
      </c>
      <c r="F164" s="28" t="s">
        <v>881</v>
      </c>
      <c r="G164" s="27">
        <v>1.5</v>
      </c>
      <c r="H164" s="27"/>
      <c r="I164" s="27" t="s">
        <v>471</v>
      </c>
      <c r="J164" s="27">
        <v>0</v>
      </c>
      <c r="K164" s="27"/>
      <c r="L164" s="27"/>
      <c r="M164" s="27"/>
    </row>
    <row r="165" spans="1:13" x14ac:dyDescent="0.25">
      <c r="A165" s="26" t="s">
        <v>882</v>
      </c>
      <c r="B165" s="26">
        <v>14</v>
      </c>
      <c r="C165" s="26" t="s">
        <v>486</v>
      </c>
      <c r="D165" s="26" t="s">
        <v>877</v>
      </c>
      <c r="E165" s="26" t="s">
        <v>883</v>
      </c>
      <c r="F165" s="3" t="s">
        <v>884</v>
      </c>
      <c r="G165" s="26">
        <v>1.5</v>
      </c>
      <c r="H165" s="26"/>
      <c r="I165" s="26" t="s">
        <v>471</v>
      </c>
      <c r="J165" s="26">
        <v>0</v>
      </c>
      <c r="K165" s="26"/>
      <c r="L165" s="26"/>
      <c r="M165" s="26"/>
    </row>
    <row r="166" spans="1:13" x14ac:dyDescent="0.25">
      <c r="A166" s="27" t="s">
        <v>882</v>
      </c>
      <c r="B166" s="27">
        <v>14</v>
      </c>
      <c r="C166" s="27" t="s">
        <v>486</v>
      </c>
      <c r="D166" s="27" t="s">
        <v>877</v>
      </c>
      <c r="E166" s="27" t="s">
        <v>885</v>
      </c>
      <c r="F166" s="28" t="s">
        <v>886</v>
      </c>
      <c r="G166" s="27">
        <v>1.5</v>
      </c>
      <c r="H166" s="27"/>
      <c r="I166" s="27" t="s">
        <v>471</v>
      </c>
      <c r="J166" s="27">
        <v>0</v>
      </c>
      <c r="K166" s="27"/>
      <c r="L166" s="27"/>
      <c r="M166" s="27"/>
    </row>
    <row r="167" spans="1:13" x14ac:dyDescent="0.25">
      <c r="A167" s="26" t="s">
        <v>887</v>
      </c>
      <c r="B167" s="26">
        <v>14</v>
      </c>
      <c r="C167" s="26" t="s">
        <v>492</v>
      </c>
      <c r="D167" s="26" t="s">
        <v>869</v>
      </c>
      <c r="E167" s="26" t="s">
        <v>888</v>
      </c>
      <c r="F167" s="3" t="s">
        <v>889</v>
      </c>
      <c r="G167" s="26">
        <v>1.5</v>
      </c>
      <c r="H167" s="26"/>
      <c r="I167" s="26" t="s">
        <v>471</v>
      </c>
      <c r="J167" s="26">
        <v>0</v>
      </c>
      <c r="K167" s="26"/>
      <c r="L167" s="26"/>
      <c r="M167" s="26"/>
    </row>
    <row r="168" spans="1:13" ht="24" customHeight="1" x14ac:dyDescent="0.25">
      <c r="A168" s="27" t="s">
        <v>887</v>
      </c>
      <c r="B168" s="27">
        <v>14</v>
      </c>
      <c r="C168" s="27" t="s">
        <v>492</v>
      </c>
      <c r="D168" s="27" t="s">
        <v>869</v>
      </c>
      <c r="E168" s="27" t="s">
        <v>890</v>
      </c>
      <c r="F168" s="28" t="s">
        <v>891</v>
      </c>
      <c r="G168" s="27">
        <v>1.5</v>
      </c>
      <c r="H168" s="27"/>
      <c r="I168" s="27" t="s">
        <v>471</v>
      </c>
      <c r="J168" s="27">
        <v>0</v>
      </c>
      <c r="K168" s="27"/>
      <c r="L168" s="27"/>
      <c r="M168" s="27"/>
    </row>
    <row r="169" spans="1:13" ht="24" customHeight="1" x14ac:dyDescent="0.25">
      <c r="A169" s="26" t="s">
        <v>892</v>
      </c>
      <c r="B169" s="26">
        <v>14</v>
      </c>
      <c r="C169" s="26" t="s">
        <v>498</v>
      </c>
      <c r="D169" s="26" t="s">
        <v>869</v>
      </c>
      <c r="E169" s="26" t="s">
        <v>893</v>
      </c>
      <c r="F169" s="3" t="s">
        <v>894</v>
      </c>
      <c r="G169" s="26">
        <v>1.5</v>
      </c>
      <c r="H169" s="26"/>
      <c r="I169" s="26" t="s">
        <v>471</v>
      </c>
      <c r="J169" s="26">
        <v>0</v>
      </c>
      <c r="K169" s="26"/>
      <c r="L169" s="26"/>
      <c r="M169" s="26"/>
    </row>
    <row r="170" spans="1:13" x14ac:dyDescent="0.25">
      <c r="A170" s="27" t="s">
        <v>892</v>
      </c>
      <c r="B170" s="27">
        <v>14</v>
      </c>
      <c r="C170" s="27" t="s">
        <v>498</v>
      </c>
      <c r="D170" s="27" t="s">
        <v>508</v>
      </c>
      <c r="E170" s="27" t="s">
        <v>895</v>
      </c>
      <c r="F170" s="28" t="s">
        <v>896</v>
      </c>
      <c r="G170" s="27">
        <v>1.5</v>
      </c>
      <c r="H170" s="27"/>
      <c r="I170" s="27" t="s">
        <v>471</v>
      </c>
      <c r="J170" s="27">
        <v>0</v>
      </c>
      <c r="K170" s="27"/>
      <c r="L170" s="27"/>
      <c r="M170" s="27"/>
    </row>
    <row r="171" spans="1:13" x14ac:dyDescent="0.25">
      <c r="A171" s="26" t="s">
        <v>897</v>
      </c>
      <c r="B171" s="26">
        <v>14</v>
      </c>
      <c r="C171" s="26" t="s">
        <v>505</v>
      </c>
      <c r="D171" s="26" t="s">
        <v>877</v>
      </c>
      <c r="E171" s="26" t="s">
        <v>885</v>
      </c>
      <c r="F171" s="3" t="s">
        <v>898</v>
      </c>
      <c r="G171" s="26">
        <v>2</v>
      </c>
      <c r="H171" s="26"/>
      <c r="I171" s="26" t="s">
        <v>471</v>
      </c>
      <c r="J171" s="26">
        <v>0</v>
      </c>
      <c r="K171" s="26"/>
      <c r="L171" s="26"/>
      <c r="M171" s="26"/>
    </row>
    <row r="172" spans="1:13" x14ac:dyDescent="0.25">
      <c r="A172" s="27" t="s">
        <v>899</v>
      </c>
      <c r="B172" s="27">
        <v>15</v>
      </c>
      <c r="C172" s="27" t="s">
        <v>467</v>
      </c>
      <c r="D172" s="27" t="s">
        <v>900</v>
      </c>
      <c r="E172" s="27" t="s">
        <v>901</v>
      </c>
      <c r="F172" s="28" t="s">
        <v>902</v>
      </c>
      <c r="G172" s="27">
        <v>2</v>
      </c>
      <c r="H172" s="27"/>
      <c r="I172" s="27" t="s">
        <v>471</v>
      </c>
      <c r="J172" s="27">
        <v>0</v>
      </c>
      <c r="K172" s="27"/>
      <c r="L172" s="27"/>
      <c r="M172" s="27"/>
    </row>
    <row r="173" spans="1:13" ht="24" customHeight="1" x14ac:dyDescent="0.25">
      <c r="A173" s="26" t="s">
        <v>903</v>
      </c>
      <c r="B173" s="26">
        <v>15</v>
      </c>
      <c r="C173" s="26" t="s">
        <v>475</v>
      </c>
      <c r="D173" s="26" t="s">
        <v>900</v>
      </c>
      <c r="E173" s="26" t="s">
        <v>904</v>
      </c>
      <c r="F173" s="3" t="s">
        <v>905</v>
      </c>
      <c r="G173" s="26">
        <v>2</v>
      </c>
      <c r="H173" s="26"/>
      <c r="I173" s="26" t="s">
        <v>471</v>
      </c>
      <c r="J173" s="26">
        <v>0</v>
      </c>
      <c r="K173" s="26"/>
      <c r="L173" s="26"/>
      <c r="M173" s="26"/>
    </row>
    <row r="174" spans="1:13" x14ac:dyDescent="0.25">
      <c r="A174" s="27" t="s">
        <v>903</v>
      </c>
      <c r="B174" s="27">
        <v>15</v>
      </c>
      <c r="C174" s="27" t="s">
        <v>475</v>
      </c>
      <c r="D174" s="27" t="s">
        <v>900</v>
      </c>
      <c r="E174" s="27" t="s">
        <v>906</v>
      </c>
      <c r="F174" s="28" t="s">
        <v>907</v>
      </c>
      <c r="G174" s="27">
        <v>2</v>
      </c>
      <c r="H174" s="27"/>
      <c r="I174" s="27" t="s">
        <v>471</v>
      </c>
      <c r="J174" s="27">
        <v>0</v>
      </c>
      <c r="K174" s="27"/>
      <c r="L174" s="27"/>
      <c r="M174" s="27"/>
    </row>
    <row r="175" spans="1:13" x14ac:dyDescent="0.25">
      <c r="A175" s="26" t="s">
        <v>104</v>
      </c>
      <c r="B175" s="26">
        <v>15</v>
      </c>
      <c r="C175" s="26" t="s">
        <v>482</v>
      </c>
      <c r="D175" s="26" t="s">
        <v>908</v>
      </c>
      <c r="E175" s="26" t="s">
        <v>909</v>
      </c>
      <c r="F175" s="3" t="s">
        <v>910</v>
      </c>
      <c r="G175" s="26">
        <v>2</v>
      </c>
      <c r="H175" s="26"/>
      <c r="I175" s="26" t="s">
        <v>471</v>
      </c>
      <c r="J175" s="26">
        <v>0</v>
      </c>
      <c r="K175" s="26"/>
      <c r="L175" s="26"/>
      <c r="M175" s="26"/>
    </row>
    <row r="176" spans="1:13" ht="24" customHeight="1" x14ac:dyDescent="0.25">
      <c r="A176" s="27" t="s">
        <v>911</v>
      </c>
      <c r="B176" s="27">
        <v>15</v>
      </c>
      <c r="C176" s="27" t="s">
        <v>486</v>
      </c>
      <c r="D176" s="27" t="s">
        <v>900</v>
      </c>
      <c r="E176" s="27" t="s">
        <v>912</v>
      </c>
      <c r="F176" s="28" t="s">
        <v>913</v>
      </c>
      <c r="G176" s="27">
        <v>2</v>
      </c>
      <c r="H176" s="27"/>
      <c r="I176" s="27" t="s">
        <v>471</v>
      </c>
      <c r="J176" s="27">
        <v>0</v>
      </c>
      <c r="K176" s="27"/>
      <c r="L176" s="27"/>
      <c r="M176" s="27"/>
    </row>
    <row r="177" spans="1:13" x14ac:dyDescent="0.25">
      <c r="A177" s="26" t="s">
        <v>914</v>
      </c>
      <c r="B177" s="26">
        <v>15</v>
      </c>
      <c r="C177" s="26" t="s">
        <v>492</v>
      </c>
      <c r="D177" s="26" t="s">
        <v>900</v>
      </c>
      <c r="E177" s="26" t="s">
        <v>915</v>
      </c>
      <c r="F177" s="3" t="s">
        <v>916</v>
      </c>
      <c r="G177" s="26">
        <v>2</v>
      </c>
      <c r="H177" s="26"/>
      <c r="I177" s="26" t="s">
        <v>471</v>
      </c>
      <c r="J177" s="26">
        <v>0</v>
      </c>
      <c r="K177" s="26"/>
      <c r="L177" s="26"/>
      <c r="M177" s="26"/>
    </row>
    <row r="178" spans="1:13" x14ac:dyDescent="0.25">
      <c r="A178" s="27" t="s">
        <v>917</v>
      </c>
      <c r="B178" s="27">
        <v>15</v>
      </c>
      <c r="C178" s="27" t="s">
        <v>498</v>
      </c>
      <c r="D178" s="27" t="s">
        <v>900</v>
      </c>
      <c r="E178" s="27" t="s">
        <v>918</v>
      </c>
      <c r="F178" s="28" t="s">
        <v>919</v>
      </c>
      <c r="G178" s="27">
        <v>2</v>
      </c>
      <c r="H178" s="27"/>
      <c r="I178" s="27" t="s">
        <v>471</v>
      </c>
      <c r="J178" s="27">
        <v>0</v>
      </c>
      <c r="K178" s="27"/>
      <c r="L178" s="27"/>
      <c r="M178" s="27"/>
    </row>
    <row r="179" spans="1:13" x14ac:dyDescent="0.25">
      <c r="A179" s="26" t="s">
        <v>920</v>
      </c>
      <c r="B179" s="26">
        <v>15</v>
      </c>
      <c r="C179" s="26" t="s">
        <v>505</v>
      </c>
      <c r="D179" s="26" t="s">
        <v>900</v>
      </c>
      <c r="E179" s="26" t="s">
        <v>921</v>
      </c>
      <c r="F179" s="3" t="s">
        <v>922</v>
      </c>
      <c r="G179" s="26">
        <v>2</v>
      </c>
      <c r="H179" s="26"/>
      <c r="I179" s="26" t="s">
        <v>471</v>
      </c>
      <c r="J179" s="26">
        <v>0</v>
      </c>
      <c r="K179" s="26"/>
      <c r="L179" s="26"/>
      <c r="M179" s="26"/>
    </row>
    <row r="180" spans="1:13" x14ac:dyDescent="0.25">
      <c r="A180" s="27" t="s">
        <v>923</v>
      </c>
      <c r="B180" s="27">
        <v>16</v>
      </c>
      <c r="C180" s="27" t="s">
        <v>467</v>
      </c>
      <c r="D180" s="27" t="s">
        <v>508</v>
      </c>
      <c r="E180" s="27" t="s">
        <v>924</v>
      </c>
      <c r="F180" s="28" t="s">
        <v>925</v>
      </c>
      <c r="G180" s="27">
        <v>2</v>
      </c>
      <c r="H180" s="27"/>
      <c r="I180" s="27" t="s">
        <v>471</v>
      </c>
      <c r="J180" s="27">
        <v>0</v>
      </c>
      <c r="K180" s="27"/>
      <c r="L180" s="27"/>
      <c r="M180" s="27"/>
    </row>
    <row r="181" spans="1:13" x14ac:dyDescent="0.25">
      <c r="A181" s="26" t="s">
        <v>926</v>
      </c>
      <c r="B181" s="26">
        <v>16</v>
      </c>
      <c r="C181" s="26" t="s">
        <v>475</v>
      </c>
      <c r="D181" s="26" t="s">
        <v>508</v>
      </c>
      <c r="E181" s="26" t="s">
        <v>927</v>
      </c>
      <c r="F181" s="3" t="s">
        <v>928</v>
      </c>
      <c r="G181" s="26">
        <v>2.5</v>
      </c>
      <c r="H181" s="26"/>
      <c r="I181" s="26" t="s">
        <v>471</v>
      </c>
      <c r="J181" s="26">
        <v>0</v>
      </c>
      <c r="K181" s="26"/>
      <c r="L181" s="26"/>
      <c r="M181" s="26"/>
    </row>
    <row r="182" spans="1:13" x14ac:dyDescent="0.25">
      <c r="A182" s="27" t="s">
        <v>926</v>
      </c>
      <c r="B182" s="27">
        <v>16</v>
      </c>
      <c r="C182" s="27" t="s">
        <v>475</v>
      </c>
      <c r="D182" s="27" t="s">
        <v>929</v>
      </c>
      <c r="E182" s="27" t="s">
        <v>930</v>
      </c>
      <c r="F182" s="28" t="s">
        <v>931</v>
      </c>
      <c r="G182" s="27">
        <v>2</v>
      </c>
      <c r="H182" s="27"/>
      <c r="I182" s="27" t="s">
        <v>471</v>
      </c>
      <c r="J182" s="27">
        <v>0</v>
      </c>
      <c r="K182" s="27"/>
      <c r="L182" s="27"/>
      <c r="M182" s="27"/>
    </row>
    <row r="183" spans="1:13" x14ac:dyDescent="0.25">
      <c r="A183" s="26" t="s">
        <v>107</v>
      </c>
      <c r="B183" s="26">
        <v>16</v>
      </c>
      <c r="C183" s="26" t="s">
        <v>482</v>
      </c>
      <c r="D183" s="26" t="s">
        <v>508</v>
      </c>
      <c r="E183" s="26" t="s">
        <v>932</v>
      </c>
      <c r="F183" s="3" t="s">
        <v>933</v>
      </c>
      <c r="G183" s="26">
        <v>2</v>
      </c>
      <c r="H183" s="26"/>
      <c r="I183" s="26" t="s">
        <v>471</v>
      </c>
      <c r="J183" s="26">
        <v>0</v>
      </c>
      <c r="K183" s="26"/>
      <c r="L183" s="26"/>
      <c r="M183" s="26"/>
    </row>
    <row r="184" spans="1:13" x14ac:dyDescent="0.25">
      <c r="A184" s="27" t="s">
        <v>934</v>
      </c>
      <c r="B184" s="27">
        <v>16</v>
      </c>
      <c r="C184" s="27" t="s">
        <v>486</v>
      </c>
      <c r="D184" s="27" t="s">
        <v>508</v>
      </c>
      <c r="E184" s="27" t="s">
        <v>935</v>
      </c>
      <c r="F184" s="28" t="s">
        <v>936</v>
      </c>
      <c r="G184" s="27">
        <v>2.5</v>
      </c>
      <c r="H184" s="27"/>
      <c r="I184" s="27" t="s">
        <v>471</v>
      </c>
      <c r="J184" s="27">
        <v>0</v>
      </c>
      <c r="K184" s="27"/>
      <c r="L184" s="27"/>
      <c r="M184" s="27"/>
    </row>
    <row r="185" spans="1:13" x14ac:dyDescent="0.25">
      <c r="A185" s="26" t="s">
        <v>937</v>
      </c>
      <c r="B185" s="26">
        <v>16</v>
      </c>
      <c r="C185" s="26" t="s">
        <v>492</v>
      </c>
      <c r="D185" s="26" t="s">
        <v>929</v>
      </c>
      <c r="E185" s="26" t="s">
        <v>938</v>
      </c>
      <c r="F185" s="3" t="s">
        <v>939</v>
      </c>
      <c r="G185" s="26">
        <v>1.5</v>
      </c>
      <c r="H185" s="26"/>
      <c r="I185" s="26" t="s">
        <v>471</v>
      </c>
      <c r="J185" s="26">
        <v>0</v>
      </c>
      <c r="K185" s="26"/>
      <c r="L185" s="26"/>
      <c r="M185" s="26"/>
    </row>
    <row r="186" spans="1:13" x14ac:dyDescent="0.25">
      <c r="A186" s="27" t="s">
        <v>940</v>
      </c>
      <c r="B186" s="27">
        <v>16</v>
      </c>
      <c r="C186" s="27" t="s">
        <v>498</v>
      </c>
      <c r="D186" s="27" t="s">
        <v>508</v>
      </c>
      <c r="E186" s="27" t="s">
        <v>941</v>
      </c>
      <c r="F186" s="28" t="s">
        <v>942</v>
      </c>
      <c r="G186" s="27">
        <v>2</v>
      </c>
      <c r="H186" s="27"/>
      <c r="I186" s="27" t="s">
        <v>471</v>
      </c>
      <c r="J186" s="27">
        <v>0</v>
      </c>
      <c r="K186" s="27"/>
      <c r="L186" s="27"/>
      <c r="M186" s="27"/>
    </row>
    <row r="187" spans="1:13" x14ac:dyDescent="0.25">
      <c r="A187" s="26" t="s">
        <v>943</v>
      </c>
      <c r="B187" s="26">
        <v>16</v>
      </c>
      <c r="C187" s="26" t="s">
        <v>505</v>
      </c>
      <c r="D187" s="26" t="s">
        <v>929</v>
      </c>
      <c r="E187" s="26" t="s">
        <v>944</v>
      </c>
      <c r="F187" s="3" t="s">
        <v>945</v>
      </c>
      <c r="G187" s="26">
        <v>2</v>
      </c>
      <c r="H187" s="26"/>
      <c r="I187" s="26" t="s">
        <v>471</v>
      </c>
      <c r="J187" s="26">
        <v>0</v>
      </c>
      <c r="K187" s="26"/>
      <c r="L187" s="26"/>
      <c r="M187" s="26"/>
    </row>
    <row r="188" spans="1:13" x14ac:dyDescent="0.25">
      <c r="A188" s="65" t="s">
        <v>946</v>
      </c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</row>
    <row r="189" spans="1:13" ht="30" x14ac:dyDescent="0.25">
      <c r="A189" s="47">
        <v>46105</v>
      </c>
      <c r="B189" s="48">
        <v>1</v>
      </c>
      <c r="C189" s="48" t="s">
        <v>486</v>
      </c>
      <c r="D189" s="48" t="s">
        <v>947</v>
      </c>
      <c r="E189" s="48" t="s">
        <v>948</v>
      </c>
      <c r="F189" s="48" t="s">
        <v>949</v>
      </c>
      <c r="G189" s="48">
        <v>1</v>
      </c>
      <c r="H189" s="48"/>
      <c r="I189" s="48" t="s">
        <v>471</v>
      </c>
      <c r="J189" s="48">
        <v>0</v>
      </c>
      <c r="K189" s="48"/>
      <c r="L189" s="48"/>
      <c r="M189" s="48"/>
    </row>
    <row r="190" spans="1:13" ht="30" x14ac:dyDescent="0.25">
      <c r="A190" s="47">
        <v>46106</v>
      </c>
      <c r="B190" s="48">
        <v>1</v>
      </c>
      <c r="C190" s="48" t="s">
        <v>492</v>
      </c>
      <c r="D190" s="48" t="s">
        <v>947</v>
      </c>
      <c r="E190" s="48" t="s">
        <v>950</v>
      </c>
      <c r="F190" s="48" t="s">
        <v>951</v>
      </c>
      <c r="G190" s="48">
        <v>1</v>
      </c>
      <c r="H190" s="48"/>
      <c r="I190" s="48" t="s">
        <v>471</v>
      </c>
      <c r="J190" s="48">
        <v>0</v>
      </c>
      <c r="K190" s="48"/>
      <c r="L190" s="48"/>
      <c r="M190" s="48"/>
    </row>
    <row r="191" spans="1:13" ht="30" x14ac:dyDescent="0.25">
      <c r="A191" s="47">
        <v>46112</v>
      </c>
      <c r="B191" s="48">
        <v>2</v>
      </c>
      <c r="C191" s="48" t="s">
        <v>486</v>
      </c>
      <c r="D191" s="48" t="s">
        <v>947</v>
      </c>
      <c r="E191" s="48" t="s">
        <v>952</v>
      </c>
      <c r="F191" s="48" t="s">
        <v>953</v>
      </c>
      <c r="G191" s="48">
        <v>1</v>
      </c>
      <c r="H191" s="48"/>
      <c r="I191" s="48" t="s">
        <v>471</v>
      </c>
      <c r="J191" s="48">
        <v>0</v>
      </c>
      <c r="K191" s="48"/>
      <c r="L191" s="48"/>
      <c r="M191" s="48"/>
    </row>
    <row r="192" spans="1:13" ht="30" x14ac:dyDescent="0.25">
      <c r="A192" s="47">
        <v>46113</v>
      </c>
      <c r="B192" s="48">
        <v>2</v>
      </c>
      <c r="C192" s="48" t="s">
        <v>492</v>
      </c>
      <c r="D192" s="48" t="s">
        <v>947</v>
      </c>
      <c r="E192" s="48" t="s">
        <v>954</v>
      </c>
      <c r="F192" s="48" t="s">
        <v>955</v>
      </c>
      <c r="G192" s="48">
        <v>1</v>
      </c>
      <c r="H192" s="48"/>
      <c r="I192" s="48" t="s">
        <v>471</v>
      </c>
      <c r="J192" s="48">
        <v>0</v>
      </c>
      <c r="K192" s="48"/>
      <c r="L192" s="48"/>
      <c r="M192" s="48"/>
    </row>
    <row r="193" spans="1:13" ht="30" x14ac:dyDescent="0.25">
      <c r="A193" s="47">
        <v>46118</v>
      </c>
      <c r="B193" s="48">
        <v>3</v>
      </c>
      <c r="C193" s="48" t="s">
        <v>486</v>
      </c>
      <c r="D193" s="48" t="s">
        <v>956</v>
      </c>
      <c r="E193" s="48" t="s">
        <v>957</v>
      </c>
      <c r="F193" s="48" t="s">
        <v>958</v>
      </c>
      <c r="G193" s="48">
        <v>1</v>
      </c>
      <c r="H193" s="48"/>
      <c r="I193" s="48" t="s">
        <v>471</v>
      </c>
      <c r="J193" s="48">
        <v>0</v>
      </c>
      <c r="K193" s="48"/>
      <c r="L193" s="48"/>
      <c r="M193" s="48"/>
    </row>
    <row r="194" spans="1:13" ht="30" x14ac:dyDescent="0.25">
      <c r="A194" s="47">
        <v>46119</v>
      </c>
      <c r="B194" s="48">
        <v>3</v>
      </c>
      <c r="C194" s="48" t="s">
        <v>492</v>
      </c>
      <c r="D194" s="48" t="s">
        <v>956</v>
      </c>
      <c r="E194" s="48" t="s">
        <v>959</v>
      </c>
      <c r="F194" s="48" t="s">
        <v>960</v>
      </c>
      <c r="G194" s="48">
        <v>1</v>
      </c>
      <c r="H194" s="48"/>
      <c r="I194" s="48" t="s">
        <v>471</v>
      </c>
      <c r="J194" s="48">
        <v>0</v>
      </c>
      <c r="K194" s="48"/>
      <c r="L194" s="48"/>
      <c r="M194" s="48"/>
    </row>
    <row r="195" spans="1:13" ht="30" x14ac:dyDescent="0.25">
      <c r="A195" s="47">
        <v>46125</v>
      </c>
      <c r="B195" s="48">
        <v>4</v>
      </c>
      <c r="C195" s="48" t="s">
        <v>486</v>
      </c>
      <c r="D195" s="48" t="s">
        <v>947</v>
      </c>
      <c r="E195" s="48" t="s">
        <v>961</v>
      </c>
      <c r="F195" s="48" t="s">
        <v>962</v>
      </c>
      <c r="G195" s="48">
        <v>1</v>
      </c>
      <c r="H195" s="48"/>
      <c r="I195" s="48" t="s">
        <v>471</v>
      </c>
      <c r="J195" s="48">
        <v>0</v>
      </c>
      <c r="K195" s="48"/>
      <c r="L195" s="48"/>
      <c r="M195" s="48"/>
    </row>
    <row r="196" spans="1:13" ht="30" x14ac:dyDescent="0.25">
      <c r="A196" s="47">
        <v>46126</v>
      </c>
      <c r="B196" s="48">
        <v>4</v>
      </c>
      <c r="C196" s="48" t="s">
        <v>492</v>
      </c>
      <c r="D196" s="48" t="s">
        <v>947</v>
      </c>
      <c r="E196" s="48" t="s">
        <v>963</v>
      </c>
      <c r="F196" s="48" t="s">
        <v>964</v>
      </c>
      <c r="G196" s="48">
        <v>1</v>
      </c>
      <c r="H196" s="48"/>
      <c r="I196" s="48" t="s">
        <v>471</v>
      </c>
      <c r="J196" s="48">
        <v>0</v>
      </c>
      <c r="K196" s="48"/>
      <c r="L196" s="48"/>
      <c r="M196" s="48"/>
    </row>
    <row r="197" spans="1:13" ht="30" x14ac:dyDescent="0.25">
      <c r="A197" s="47">
        <v>46126</v>
      </c>
      <c r="B197" s="48">
        <v>4</v>
      </c>
      <c r="C197" s="48" t="s">
        <v>492</v>
      </c>
      <c r="D197" s="48" t="s">
        <v>947</v>
      </c>
      <c r="E197" s="48" t="s">
        <v>965</v>
      </c>
      <c r="F197" s="48" t="s">
        <v>966</v>
      </c>
      <c r="G197" s="48">
        <v>0.5</v>
      </c>
      <c r="H197" s="48"/>
      <c r="I197" s="48" t="s">
        <v>471</v>
      </c>
      <c r="J197" s="48">
        <v>0</v>
      </c>
      <c r="K197" s="48"/>
      <c r="L197" s="48"/>
      <c r="M197" s="48"/>
    </row>
    <row r="198" spans="1:13" ht="30" x14ac:dyDescent="0.25">
      <c r="A198" s="49">
        <v>46132</v>
      </c>
      <c r="B198" s="50">
        <v>5</v>
      </c>
      <c r="C198" s="50" t="s">
        <v>486</v>
      </c>
      <c r="D198" s="50" t="s">
        <v>967</v>
      </c>
      <c r="E198" s="50" t="s">
        <v>968</v>
      </c>
      <c r="F198" s="50" t="s">
        <v>969</v>
      </c>
      <c r="G198" s="50">
        <v>1</v>
      </c>
      <c r="H198" s="50"/>
      <c r="I198" s="50" t="s">
        <v>471</v>
      </c>
      <c r="J198" s="50">
        <v>0</v>
      </c>
      <c r="K198" s="50"/>
      <c r="L198" s="50"/>
      <c r="M198" s="50"/>
    </row>
    <row r="199" spans="1:13" ht="30" x14ac:dyDescent="0.25">
      <c r="A199" s="49">
        <v>46133</v>
      </c>
      <c r="B199" s="50">
        <v>5</v>
      </c>
      <c r="C199" s="50" t="s">
        <v>492</v>
      </c>
      <c r="D199" s="50" t="s">
        <v>967</v>
      </c>
      <c r="E199" s="50" t="s">
        <v>970</v>
      </c>
      <c r="F199" s="50" t="s">
        <v>971</v>
      </c>
      <c r="G199" s="50">
        <v>1</v>
      </c>
      <c r="H199" s="50"/>
      <c r="I199" s="50" t="s">
        <v>471</v>
      </c>
      <c r="J199" s="50">
        <v>0</v>
      </c>
      <c r="K199" s="50"/>
      <c r="L199" s="50"/>
      <c r="M199" s="50"/>
    </row>
    <row r="200" spans="1:13" ht="30" x14ac:dyDescent="0.25">
      <c r="A200" s="47">
        <v>46139</v>
      </c>
      <c r="B200" s="48">
        <v>6</v>
      </c>
      <c r="C200" s="48" t="s">
        <v>486</v>
      </c>
      <c r="D200" s="48" t="s">
        <v>956</v>
      </c>
      <c r="E200" s="48" t="s">
        <v>972</v>
      </c>
      <c r="F200" s="48" t="s">
        <v>973</v>
      </c>
      <c r="G200" s="48">
        <v>1</v>
      </c>
      <c r="H200" s="48"/>
      <c r="I200" s="48" t="s">
        <v>471</v>
      </c>
      <c r="J200" s="48">
        <v>0</v>
      </c>
      <c r="K200" s="48"/>
      <c r="L200" s="48"/>
      <c r="M200" s="48"/>
    </row>
    <row r="201" spans="1:13" ht="30" x14ac:dyDescent="0.25">
      <c r="A201" s="47">
        <v>46140</v>
      </c>
      <c r="B201" s="48">
        <v>6</v>
      </c>
      <c r="C201" s="48" t="s">
        <v>492</v>
      </c>
      <c r="D201" s="48" t="s">
        <v>956</v>
      </c>
      <c r="E201" s="48" t="s">
        <v>974</v>
      </c>
      <c r="F201" s="48" t="s">
        <v>975</v>
      </c>
      <c r="G201" s="48">
        <v>1</v>
      </c>
      <c r="H201" s="48"/>
      <c r="I201" s="48" t="s">
        <v>471</v>
      </c>
      <c r="J201" s="48">
        <v>0</v>
      </c>
      <c r="K201" s="48"/>
      <c r="L201" s="48"/>
      <c r="M201" s="48"/>
    </row>
    <row r="202" spans="1:13" ht="30" x14ac:dyDescent="0.25">
      <c r="A202" s="47">
        <v>46146</v>
      </c>
      <c r="B202" s="48">
        <v>7</v>
      </c>
      <c r="C202" s="48" t="s">
        <v>486</v>
      </c>
      <c r="D202" s="48" t="s">
        <v>947</v>
      </c>
      <c r="E202" s="48" t="s">
        <v>976</v>
      </c>
      <c r="F202" s="48" t="s">
        <v>977</v>
      </c>
      <c r="G202" s="48">
        <v>1</v>
      </c>
      <c r="H202" s="48"/>
      <c r="I202" s="48" t="s">
        <v>471</v>
      </c>
      <c r="J202" s="48">
        <v>0</v>
      </c>
      <c r="K202" s="48"/>
      <c r="L202" s="48"/>
      <c r="M202" s="48"/>
    </row>
    <row r="203" spans="1:13" ht="30" x14ac:dyDescent="0.25">
      <c r="A203" s="47">
        <v>46147</v>
      </c>
      <c r="B203" s="48">
        <v>7</v>
      </c>
      <c r="C203" s="48" t="s">
        <v>492</v>
      </c>
      <c r="D203" s="48" t="s">
        <v>947</v>
      </c>
      <c r="E203" s="48" t="s">
        <v>978</v>
      </c>
      <c r="F203" s="48" t="s">
        <v>979</v>
      </c>
      <c r="G203" s="48">
        <v>1</v>
      </c>
      <c r="H203" s="48"/>
      <c r="I203" s="48" t="s">
        <v>471</v>
      </c>
      <c r="J203" s="48">
        <v>0</v>
      </c>
      <c r="K203" s="48"/>
      <c r="L203" s="48"/>
      <c r="M203" s="48"/>
    </row>
    <row r="204" spans="1:13" ht="30" x14ac:dyDescent="0.25">
      <c r="A204" s="47">
        <v>46153</v>
      </c>
      <c r="B204" s="48">
        <v>8</v>
      </c>
      <c r="C204" s="48" t="s">
        <v>486</v>
      </c>
      <c r="D204" s="48" t="s">
        <v>956</v>
      </c>
      <c r="E204" s="48" t="s">
        <v>392</v>
      </c>
      <c r="F204" s="48" t="s">
        <v>980</v>
      </c>
      <c r="G204" s="48">
        <v>1</v>
      </c>
      <c r="H204" s="48"/>
      <c r="I204" s="48" t="s">
        <v>471</v>
      </c>
      <c r="J204" s="48">
        <v>0</v>
      </c>
      <c r="K204" s="48"/>
      <c r="L204" s="48"/>
      <c r="M204" s="48"/>
    </row>
    <row r="205" spans="1:13" ht="30" x14ac:dyDescent="0.25">
      <c r="A205" s="47">
        <v>46154</v>
      </c>
      <c r="B205" s="48">
        <v>8</v>
      </c>
      <c r="C205" s="48" t="s">
        <v>492</v>
      </c>
      <c r="D205" s="48" t="s">
        <v>947</v>
      </c>
      <c r="E205" s="48" t="s">
        <v>981</v>
      </c>
      <c r="F205" s="48" t="s">
        <v>982</v>
      </c>
      <c r="G205" s="48">
        <v>1</v>
      </c>
      <c r="H205" s="48"/>
      <c r="I205" s="48" t="s">
        <v>471</v>
      </c>
      <c r="J205" s="48">
        <v>0</v>
      </c>
      <c r="K205" s="48"/>
      <c r="L205" s="48"/>
      <c r="M205" s="48"/>
    </row>
    <row r="206" spans="1:13" ht="30" x14ac:dyDescent="0.25">
      <c r="A206" s="49">
        <v>46160</v>
      </c>
      <c r="B206" s="50">
        <v>9</v>
      </c>
      <c r="C206" s="50" t="s">
        <v>486</v>
      </c>
      <c r="D206" s="50" t="s">
        <v>967</v>
      </c>
      <c r="E206" s="50" t="s">
        <v>983</v>
      </c>
      <c r="F206" s="50" t="s">
        <v>984</v>
      </c>
      <c r="G206" s="50">
        <v>1</v>
      </c>
      <c r="H206" s="50"/>
      <c r="I206" s="50" t="s">
        <v>471</v>
      </c>
      <c r="J206" s="50">
        <v>0</v>
      </c>
      <c r="K206" s="50"/>
      <c r="L206" s="50"/>
      <c r="M206" s="50"/>
    </row>
    <row r="207" spans="1:13" ht="30" x14ac:dyDescent="0.25">
      <c r="A207" s="49">
        <v>46161</v>
      </c>
      <c r="B207" s="50">
        <v>9</v>
      </c>
      <c r="C207" s="50" t="s">
        <v>492</v>
      </c>
      <c r="D207" s="50" t="s">
        <v>967</v>
      </c>
      <c r="E207" s="50" t="s">
        <v>985</v>
      </c>
      <c r="F207" s="50" t="s">
        <v>986</v>
      </c>
      <c r="G207" s="50">
        <v>1</v>
      </c>
      <c r="H207" s="50"/>
      <c r="I207" s="50" t="s">
        <v>471</v>
      </c>
      <c r="J207" s="50">
        <v>0</v>
      </c>
      <c r="K207" s="50"/>
      <c r="L207" s="50"/>
      <c r="M207" s="50"/>
    </row>
    <row r="208" spans="1:13" ht="30" x14ac:dyDescent="0.25">
      <c r="A208" s="47">
        <v>46167</v>
      </c>
      <c r="B208" s="48">
        <v>10</v>
      </c>
      <c r="C208" s="48" t="s">
        <v>486</v>
      </c>
      <c r="D208" s="48" t="s">
        <v>947</v>
      </c>
      <c r="E208" s="48" t="s">
        <v>987</v>
      </c>
      <c r="F208" s="48" t="s">
        <v>988</v>
      </c>
      <c r="G208" s="48">
        <v>1</v>
      </c>
      <c r="H208" s="48"/>
      <c r="I208" s="48" t="s">
        <v>471</v>
      </c>
      <c r="J208" s="48">
        <v>0</v>
      </c>
      <c r="K208" s="48"/>
      <c r="L208" s="48"/>
      <c r="M208" s="48"/>
    </row>
    <row r="209" spans="1:13" ht="30" x14ac:dyDescent="0.25">
      <c r="A209" s="47">
        <v>46168</v>
      </c>
      <c r="B209" s="48">
        <v>10</v>
      </c>
      <c r="C209" s="48" t="s">
        <v>492</v>
      </c>
      <c r="D209" s="48" t="s">
        <v>947</v>
      </c>
      <c r="E209" s="48" t="s">
        <v>989</v>
      </c>
      <c r="F209" s="48" t="s">
        <v>990</v>
      </c>
      <c r="G209" s="48">
        <v>1</v>
      </c>
      <c r="H209" s="48"/>
      <c r="I209" s="48" t="s">
        <v>471</v>
      </c>
      <c r="J209" s="48">
        <v>0</v>
      </c>
      <c r="K209" s="48"/>
      <c r="L209" s="48"/>
      <c r="M209" s="48"/>
    </row>
    <row r="210" spans="1:13" ht="30" x14ac:dyDescent="0.25">
      <c r="A210" s="49">
        <v>46174</v>
      </c>
      <c r="B210" s="50">
        <v>11</v>
      </c>
      <c r="C210" s="50" t="s">
        <v>486</v>
      </c>
      <c r="D210" s="50" t="s">
        <v>967</v>
      </c>
      <c r="E210" s="50" t="s">
        <v>991</v>
      </c>
      <c r="F210" s="50" t="s">
        <v>992</v>
      </c>
      <c r="G210" s="50">
        <v>1</v>
      </c>
      <c r="H210" s="50"/>
      <c r="I210" s="50" t="s">
        <v>471</v>
      </c>
      <c r="J210" s="50">
        <v>0</v>
      </c>
      <c r="K210" s="50"/>
      <c r="L210" s="50"/>
      <c r="M210" s="50"/>
    </row>
    <row r="211" spans="1:13" ht="30" x14ac:dyDescent="0.25">
      <c r="A211" s="49">
        <v>46175</v>
      </c>
      <c r="B211" s="50">
        <v>11</v>
      </c>
      <c r="C211" s="50" t="s">
        <v>492</v>
      </c>
      <c r="D211" s="50" t="s">
        <v>967</v>
      </c>
      <c r="E211" s="50" t="s">
        <v>993</v>
      </c>
      <c r="F211" s="50" t="s">
        <v>994</v>
      </c>
      <c r="G211" s="50">
        <v>1</v>
      </c>
      <c r="H211" s="50"/>
      <c r="I211" s="50" t="s">
        <v>471</v>
      </c>
      <c r="J211" s="50">
        <v>0</v>
      </c>
      <c r="K211" s="50"/>
      <c r="L211" s="50"/>
      <c r="M211" s="50"/>
    </row>
    <row r="212" spans="1:13" ht="30" x14ac:dyDescent="0.25">
      <c r="A212" s="47">
        <v>46181</v>
      </c>
      <c r="B212" s="48">
        <v>12</v>
      </c>
      <c r="C212" s="48" t="s">
        <v>486</v>
      </c>
      <c r="D212" s="48" t="s">
        <v>956</v>
      </c>
      <c r="E212" s="48" t="s">
        <v>995</v>
      </c>
      <c r="F212" s="48" t="s">
        <v>996</v>
      </c>
      <c r="G212" s="48">
        <v>1</v>
      </c>
      <c r="H212" s="48"/>
      <c r="I212" s="48" t="s">
        <v>471</v>
      </c>
      <c r="J212" s="48">
        <v>0</v>
      </c>
      <c r="K212" s="48"/>
      <c r="L212" s="48"/>
      <c r="M212" s="48"/>
    </row>
    <row r="213" spans="1:13" ht="30" x14ac:dyDescent="0.25">
      <c r="A213" s="47">
        <v>46182</v>
      </c>
      <c r="B213" s="48">
        <v>12</v>
      </c>
      <c r="C213" s="48" t="s">
        <v>492</v>
      </c>
      <c r="D213" s="48" t="s">
        <v>956</v>
      </c>
      <c r="E213" s="48" t="s">
        <v>997</v>
      </c>
      <c r="F213" s="48" t="s">
        <v>998</v>
      </c>
      <c r="G213" s="48">
        <v>1</v>
      </c>
      <c r="H213" s="48"/>
      <c r="I213" s="48" t="s">
        <v>471</v>
      </c>
      <c r="J213" s="48">
        <v>0</v>
      </c>
      <c r="K213" s="48"/>
      <c r="L213" s="48"/>
      <c r="M213" s="48"/>
    </row>
    <row r="214" spans="1:13" ht="30" x14ac:dyDescent="0.25">
      <c r="A214" s="47">
        <v>46188</v>
      </c>
      <c r="B214" s="48">
        <v>13</v>
      </c>
      <c r="C214" s="48" t="s">
        <v>486</v>
      </c>
      <c r="D214" s="48" t="s">
        <v>947</v>
      </c>
      <c r="E214" s="48" t="s">
        <v>999</v>
      </c>
      <c r="F214" s="48" t="s">
        <v>1000</v>
      </c>
      <c r="G214" s="48">
        <v>1</v>
      </c>
      <c r="H214" s="48"/>
      <c r="I214" s="48" t="s">
        <v>471</v>
      </c>
      <c r="J214" s="48">
        <v>0</v>
      </c>
      <c r="K214" s="48"/>
      <c r="L214" s="48"/>
      <c r="M214" s="48"/>
    </row>
    <row r="215" spans="1:13" ht="30" x14ac:dyDescent="0.25">
      <c r="A215" s="47">
        <v>46189</v>
      </c>
      <c r="B215" s="48">
        <v>13</v>
      </c>
      <c r="C215" s="48" t="s">
        <v>492</v>
      </c>
      <c r="D215" s="48" t="s">
        <v>947</v>
      </c>
      <c r="E215" s="48" t="s">
        <v>1001</v>
      </c>
      <c r="F215" s="48" t="s">
        <v>1002</v>
      </c>
      <c r="G215" s="48">
        <v>1</v>
      </c>
      <c r="H215" s="48"/>
      <c r="I215" s="48" t="s">
        <v>471</v>
      </c>
      <c r="J215" s="48">
        <v>0</v>
      </c>
      <c r="K215" s="48"/>
      <c r="L215" s="48"/>
      <c r="M215" s="48"/>
    </row>
    <row r="216" spans="1:13" ht="30" x14ac:dyDescent="0.25">
      <c r="A216" s="49">
        <v>46195</v>
      </c>
      <c r="B216" s="50">
        <v>14</v>
      </c>
      <c r="C216" s="50" t="s">
        <v>486</v>
      </c>
      <c r="D216" s="50" t="s">
        <v>967</v>
      </c>
      <c r="E216" s="50" t="s">
        <v>1003</v>
      </c>
      <c r="F216" s="50" t="s">
        <v>1004</v>
      </c>
      <c r="G216" s="50">
        <v>1</v>
      </c>
      <c r="H216" s="50"/>
      <c r="I216" s="50" t="s">
        <v>471</v>
      </c>
      <c r="J216" s="50">
        <v>0</v>
      </c>
      <c r="K216" s="50"/>
      <c r="L216" s="50"/>
      <c r="M216" s="50"/>
    </row>
    <row r="217" spans="1:13" ht="30" x14ac:dyDescent="0.25">
      <c r="A217" s="49">
        <v>46196</v>
      </c>
      <c r="B217" s="50">
        <v>14</v>
      </c>
      <c r="C217" s="50" t="s">
        <v>492</v>
      </c>
      <c r="D217" s="50" t="s">
        <v>967</v>
      </c>
      <c r="E217" s="50" t="s">
        <v>1005</v>
      </c>
      <c r="F217" s="50" t="s">
        <v>1006</v>
      </c>
      <c r="G217" s="50">
        <v>1</v>
      </c>
      <c r="H217" s="50"/>
      <c r="I217" s="50" t="s">
        <v>471</v>
      </c>
      <c r="J217" s="50">
        <v>0</v>
      </c>
      <c r="K217" s="50"/>
      <c r="L217" s="50"/>
      <c r="M217" s="50"/>
    </row>
    <row r="218" spans="1:13" ht="30" x14ac:dyDescent="0.25">
      <c r="A218" s="47">
        <v>46202</v>
      </c>
      <c r="B218" s="48">
        <v>15</v>
      </c>
      <c r="C218" s="48" t="s">
        <v>486</v>
      </c>
      <c r="D218" s="48" t="s">
        <v>947</v>
      </c>
      <c r="E218" s="48" t="s">
        <v>1007</v>
      </c>
      <c r="F218" s="48" t="s">
        <v>1008</v>
      </c>
      <c r="G218" s="48">
        <v>1</v>
      </c>
      <c r="H218" s="48"/>
      <c r="I218" s="48" t="s">
        <v>471</v>
      </c>
      <c r="J218" s="48">
        <v>0</v>
      </c>
      <c r="K218" s="48"/>
      <c r="L218" s="48"/>
      <c r="M218" s="48"/>
    </row>
    <row r="219" spans="1:13" ht="30" x14ac:dyDescent="0.25">
      <c r="A219" s="47">
        <v>46203</v>
      </c>
      <c r="B219" s="48">
        <v>15</v>
      </c>
      <c r="C219" s="48" t="s">
        <v>492</v>
      </c>
      <c r="D219" s="48" t="s">
        <v>947</v>
      </c>
      <c r="E219" s="48" t="s">
        <v>1009</v>
      </c>
      <c r="F219" s="48" t="s">
        <v>1010</v>
      </c>
      <c r="G219" s="48">
        <v>1</v>
      </c>
      <c r="H219" s="48"/>
      <c r="I219" s="48" t="s">
        <v>471</v>
      </c>
      <c r="J219" s="48">
        <v>0</v>
      </c>
      <c r="K219" s="48"/>
      <c r="L219" s="48"/>
      <c r="M219" s="48"/>
    </row>
    <row r="220" spans="1:13" ht="30" x14ac:dyDescent="0.25">
      <c r="A220" s="47">
        <v>46209</v>
      </c>
      <c r="B220" s="48">
        <v>16</v>
      </c>
      <c r="C220" s="48" t="s">
        <v>486</v>
      </c>
      <c r="D220" s="48" t="s">
        <v>947</v>
      </c>
      <c r="E220" s="48" t="s">
        <v>1011</v>
      </c>
      <c r="F220" s="48" t="s">
        <v>1012</v>
      </c>
      <c r="G220" s="48">
        <v>1</v>
      </c>
      <c r="H220" s="48"/>
      <c r="I220" s="48" t="s">
        <v>471</v>
      </c>
      <c r="J220" s="48">
        <v>0</v>
      </c>
      <c r="K220" s="48"/>
      <c r="L220" s="48"/>
      <c r="M220" s="48"/>
    </row>
    <row r="221" spans="1:13" ht="30" x14ac:dyDescent="0.25">
      <c r="A221" s="47">
        <v>46210</v>
      </c>
      <c r="B221" s="48">
        <v>16</v>
      </c>
      <c r="C221" s="48" t="s">
        <v>492</v>
      </c>
      <c r="D221" s="48" t="s">
        <v>947</v>
      </c>
      <c r="E221" s="48" t="s">
        <v>1013</v>
      </c>
      <c r="F221" s="48" t="s">
        <v>1014</v>
      </c>
      <c r="G221" s="48">
        <v>1</v>
      </c>
      <c r="H221" s="48"/>
      <c r="I221" s="48" t="s">
        <v>471</v>
      </c>
      <c r="J221" s="48">
        <v>0</v>
      </c>
      <c r="K221" s="48"/>
      <c r="L221" s="48"/>
      <c r="M221" s="48"/>
    </row>
  </sheetData>
  <mergeCells count="2">
    <mergeCell ref="A1:K1"/>
    <mergeCell ref="A188:M18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A623"/>
  </sheetPr>
  <dimension ref="A1:H80"/>
  <sheetViews>
    <sheetView workbookViewId="0">
      <pane ySplit="2" topLeftCell="A58" activePane="bottomLeft" state="frozen"/>
      <selection pane="bottomLeft" sqref="A1:H1"/>
    </sheetView>
  </sheetViews>
  <sheetFormatPr defaultRowHeight="15" x14ac:dyDescent="0.25"/>
  <cols>
    <col min="1" max="1" width="18" style="37" customWidth="1"/>
    <col min="2" max="2" width="52" style="37" customWidth="1"/>
    <col min="3" max="3" width="14" style="37" customWidth="1"/>
    <col min="4" max="4" width="18" style="37" customWidth="1"/>
    <col min="5" max="5" width="14" style="37" customWidth="1"/>
    <col min="6" max="6" width="10" style="37" customWidth="1"/>
    <col min="7" max="7" width="32" style="37" customWidth="1"/>
    <col min="8" max="8" width="28" style="37" customWidth="1"/>
  </cols>
  <sheetData>
    <row r="1" spans="1:8" ht="32.1" customHeight="1" x14ac:dyDescent="0.25">
      <c r="A1" s="66" t="s">
        <v>1015</v>
      </c>
      <c r="B1" s="52"/>
      <c r="C1" s="52"/>
      <c r="D1" s="52"/>
      <c r="E1" s="52"/>
      <c r="F1" s="52"/>
      <c r="G1" s="52"/>
      <c r="H1" s="52"/>
    </row>
    <row r="2" spans="1:8" x14ac:dyDescent="0.25">
      <c r="A2" s="1" t="s">
        <v>1016</v>
      </c>
      <c r="B2" s="1" t="s">
        <v>1017</v>
      </c>
      <c r="C2" s="1" t="s">
        <v>1018</v>
      </c>
      <c r="D2" s="1" t="s">
        <v>1019</v>
      </c>
      <c r="E2" s="1" t="s">
        <v>461</v>
      </c>
      <c r="F2" s="1" t="s">
        <v>1020</v>
      </c>
      <c r="G2" s="1" t="s">
        <v>1021</v>
      </c>
      <c r="H2" s="1" t="s">
        <v>1022</v>
      </c>
    </row>
    <row r="3" spans="1:8" ht="24" customHeight="1" x14ac:dyDescent="0.25">
      <c r="A3" s="26" t="s">
        <v>1023</v>
      </c>
      <c r="B3" s="3" t="s">
        <v>1024</v>
      </c>
      <c r="C3" s="26" t="s">
        <v>1025</v>
      </c>
      <c r="D3" s="26"/>
      <c r="E3" s="26" t="s">
        <v>471</v>
      </c>
      <c r="F3" s="26">
        <v>0</v>
      </c>
      <c r="G3" s="26"/>
      <c r="H3" s="26"/>
    </row>
    <row r="4" spans="1:8" x14ac:dyDescent="0.25">
      <c r="A4" s="27" t="s">
        <v>1023</v>
      </c>
      <c r="B4" s="28" t="s">
        <v>1026</v>
      </c>
      <c r="C4" s="27" t="s">
        <v>1025</v>
      </c>
      <c r="D4" s="27"/>
      <c r="E4" s="27" t="s">
        <v>471</v>
      </c>
      <c r="F4" s="27">
        <v>0</v>
      </c>
      <c r="G4" s="27"/>
      <c r="H4" s="27"/>
    </row>
    <row r="5" spans="1:8" x14ac:dyDescent="0.25">
      <c r="A5" s="26" t="s">
        <v>1023</v>
      </c>
      <c r="B5" s="3" t="s">
        <v>1027</v>
      </c>
      <c r="C5" s="26" t="s">
        <v>1025</v>
      </c>
      <c r="D5" s="26"/>
      <c r="E5" s="26" t="s">
        <v>471</v>
      </c>
      <c r="F5" s="26">
        <v>0</v>
      </c>
      <c r="G5" s="26"/>
      <c r="H5" s="26"/>
    </row>
    <row r="6" spans="1:8" x14ac:dyDescent="0.25">
      <c r="A6" s="27" t="s">
        <v>1023</v>
      </c>
      <c r="B6" s="28" t="s">
        <v>1028</v>
      </c>
      <c r="C6" s="27" t="s">
        <v>1025</v>
      </c>
      <c r="D6" s="27"/>
      <c r="E6" s="27" t="s">
        <v>471</v>
      </c>
      <c r="F6" s="27">
        <v>0</v>
      </c>
      <c r="G6" s="27"/>
      <c r="H6" s="27"/>
    </row>
    <row r="7" spans="1:8" x14ac:dyDescent="0.25">
      <c r="A7" s="26" t="s">
        <v>1023</v>
      </c>
      <c r="B7" s="3" t="s">
        <v>1029</v>
      </c>
      <c r="C7" s="26" t="s">
        <v>1030</v>
      </c>
      <c r="D7" s="26"/>
      <c r="E7" s="26" t="s">
        <v>471</v>
      </c>
      <c r="F7" s="26">
        <v>0</v>
      </c>
      <c r="G7" s="26"/>
      <c r="H7" s="26"/>
    </row>
    <row r="8" spans="1:8" x14ac:dyDescent="0.25">
      <c r="A8" s="27" t="s">
        <v>1031</v>
      </c>
      <c r="B8" s="28" t="s">
        <v>1032</v>
      </c>
      <c r="C8" s="27" t="s">
        <v>1025</v>
      </c>
      <c r="D8" s="27"/>
      <c r="E8" s="27" t="s">
        <v>471</v>
      </c>
      <c r="F8" s="27">
        <v>0</v>
      </c>
      <c r="G8" s="27"/>
      <c r="H8" s="27"/>
    </row>
    <row r="9" spans="1:8" x14ac:dyDescent="0.25">
      <c r="A9" s="26" t="s">
        <v>1031</v>
      </c>
      <c r="B9" s="3" t="s">
        <v>1033</v>
      </c>
      <c r="C9" s="26" t="s">
        <v>1025</v>
      </c>
      <c r="D9" s="26"/>
      <c r="E9" s="26" t="s">
        <v>471</v>
      </c>
      <c r="F9" s="26">
        <v>0</v>
      </c>
      <c r="G9" s="26"/>
      <c r="H9" s="26"/>
    </row>
    <row r="10" spans="1:8" x14ac:dyDescent="0.25">
      <c r="A10" s="27" t="s">
        <v>1031</v>
      </c>
      <c r="B10" s="28" t="s">
        <v>1034</v>
      </c>
      <c r="C10" s="27" t="s">
        <v>1025</v>
      </c>
      <c r="D10" s="27"/>
      <c r="E10" s="27" t="s">
        <v>471</v>
      </c>
      <c r="F10" s="27">
        <v>0</v>
      </c>
      <c r="G10" s="27"/>
      <c r="H10" s="27"/>
    </row>
    <row r="11" spans="1:8" x14ac:dyDescent="0.25">
      <c r="A11" s="26" t="s">
        <v>1035</v>
      </c>
      <c r="B11" s="3" t="s">
        <v>1036</v>
      </c>
      <c r="C11" s="26" t="s">
        <v>1025</v>
      </c>
      <c r="D11" s="26"/>
      <c r="E11" s="26" t="s">
        <v>471</v>
      </c>
      <c r="F11" s="26">
        <v>0</v>
      </c>
      <c r="G11" s="26"/>
      <c r="H11" s="26"/>
    </row>
    <row r="12" spans="1:8" x14ac:dyDescent="0.25">
      <c r="A12" s="27" t="s">
        <v>1035</v>
      </c>
      <c r="B12" s="28" t="s">
        <v>1037</v>
      </c>
      <c r="C12" s="27" t="s">
        <v>1025</v>
      </c>
      <c r="D12" s="27"/>
      <c r="E12" s="27" t="s">
        <v>471</v>
      </c>
      <c r="F12" s="27">
        <v>0</v>
      </c>
      <c r="G12" s="27"/>
      <c r="H12" s="27"/>
    </row>
    <row r="13" spans="1:8" x14ac:dyDescent="0.25">
      <c r="A13" s="26" t="s">
        <v>1035</v>
      </c>
      <c r="B13" s="3" t="s">
        <v>1038</v>
      </c>
      <c r="C13" s="26" t="s">
        <v>1025</v>
      </c>
      <c r="D13" s="26"/>
      <c r="E13" s="26" t="s">
        <v>471</v>
      </c>
      <c r="F13" s="26">
        <v>0</v>
      </c>
      <c r="G13" s="26"/>
      <c r="H13" s="26"/>
    </row>
    <row r="14" spans="1:8" x14ac:dyDescent="0.25">
      <c r="A14" s="27" t="s">
        <v>1039</v>
      </c>
      <c r="B14" s="28" t="s">
        <v>1040</v>
      </c>
      <c r="C14" s="27" t="s">
        <v>1025</v>
      </c>
      <c r="D14" s="27"/>
      <c r="E14" s="27" t="s">
        <v>471</v>
      </c>
      <c r="F14" s="27">
        <v>0</v>
      </c>
      <c r="G14" s="27"/>
      <c r="H14" s="27"/>
    </row>
    <row r="15" spans="1:8" x14ac:dyDescent="0.25">
      <c r="A15" s="26" t="s">
        <v>1039</v>
      </c>
      <c r="B15" s="3" t="s">
        <v>1041</v>
      </c>
      <c r="C15" s="26" t="s">
        <v>1025</v>
      </c>
      <c r="D15" s="26"/>
      <c r="E15" s="26" t="s">
        <v>471</v>
      </c>
      <c r="F15" s="26">
        <v>0</v>
      </c>
      <c r="G15" s="26"/>
      <c r="H15" s="26"/>
    </row>
    <row r="16" spans="1:8" x14ac:dyDescent="0.25">
      <c r="A16" s="27" t="s">
        <v>1039</v>
      </c>
      <c r="B16" s="28" t="s">
        <v>1042</v>
      </c>
      <c r="C16" s="27" t="s">
        <v>1030</v>
      </c>
      <c r="D16" s="27"/>
      <c r="E16" s="27" t="s">
        <v>471</v>
      </c>
      <c r="F16" s="27">
        <v>0</v>
      </c>
      <c r="G16" s="27"/>
      <c r="H16" s="27"/>
    </row>
    <row r="17" spans="1:8" x14ac:dyDescent="0.25">
      <c r="A17" s="26" t="s">
        <v>22</v>
      </c>
      <c r="B17" s="3" t="s">
        <v>1043</v>
      </c>
      <c r="C17" s="26" t="s">
        <v>1025</v>
      </c>
      <c r="D17" s="26"/>
      <c r="E17" s="26" t="s">
        <v>471</v>
      </c>
      <c r="F17" s="26">
        <v>0</v>
      </c>
      <c r="G17" s="26"/>
      <c r="H17" s="26"/>
    </row>
    <row r="18" spans="1:8" x14ac:dyDescent="0.25">
      <c r="A18" s="27" t="s">
        <v>22</v>
      </c>
      <c r="B18" s="28" t="s">
        <v>1044</v>
      </c>
      <c r="C18" s="27" t="s">
        <v>1025</v>
      </c>
      <c r="D18" s="27"/>
      <c r="E18" s="27" t="s">
        <v>471</v>
      </c>
      <c r="F18" s="27">
        <v>0</v>
      </c>
      <c r="G18" s="27"/>
      <c r="H18" s="27"/>
    </row>
    <row r="19" spans="1:8" x14ac:dyDescent="0.25">
      <c r="A19" s="26" t="s">
        <v>22</v>
      </c>
      <c r="B19" s="3" t="s">
        <v>1045</v>
      </c>
      <c r="C19" s="26" t="s">
        <v>1025</v>
      </c>
      <c r="D19" s="26"/>
      <c r="E19" s="26" t="s">
        <v>471</v>
      </c>
      <c r="F19" s="26">
        <v>0</v>
      </c>
      <c r="G19" s="26"/>
      <c r="H19" s="26"/>
    </row>
    <row r="20" spans="1:8" x14ac:dyDescent="0.25">
      <c r="A20" s="27" t="s">
        <v>22</v>
      </c>
      <c r="B20" s="28" t="s">
        <v>1046</v>
      </c>
      <c r="C20" s="27" t="s">
        <v>1030</v>
      </c>
      <c r="D20" s="27"/>
      <c r="E20" s="27" t="s">
        <v>471</v>
      </c>
      <c r="F20" s="27">
        <v>0</v>
      </c>
      <c r="G20" s="27"/>
      <c r="H20" s="27"/>
    </row>
    <row r="21" spans="1:8" x14ac:dyDescent="0.25">
      <c r="A21" s="26" t="s">
        <v>27</v>
      </c>
      <c r="B21" s="3" t="s">
        <v>1047</v>
      </c>
      <c r="C21" s="26" t="s">
        <v>1025</v>
      </c>
      <c r="D21" s="26"/>
      <c r="E21" s="26" t="s">
        <v>471</v>
      </c>
      <c r="F21" s="26">
        <v>0</v>
      </c>
      <c r="G21" s="26"/>
      <c r="H21" s="26"/>
    </row>
    <row r="22" spans="1:8" x14ac:dyDescent="0.25">
      <c r="A22" s="27" t="s">
        <v>27</v>
      </c>
      <c r="B22" s="28" t="s">
        <v>1048</v>
      </c>
      <c r="C22" s="27" t="s">
        <v>1025</v>
      </c>
      <c r="D22" s="27"/>
      <c r="E22" s="27" t="s">
        <v>471</v>
      </c>
      <c r="F22" s="27">
        <v>0</v>
      </c>
      <c r="G22" s="27"/>
      <c r="H22" s="27"/>
    </row>
    <row r="23" spans="1:8" x14ac:dyDescent="0.25">
      <c r="A23" s="26" t="s">
        <v>27</v>
      </c>
      <c r="B23" s="3" t="s">
        <v>1049</v>
      </c>
      <c r="C23" s="26" t="s">
        <v>1025</v>
      </c>
      <c r="D23" s="26"/>
      <c r="E23" s="26" t="s">
        <v>471</v>
      </c>
      <c r="F23" s="26">
        <v>0</v>
      </c>
      <c r="G23" s="26"/>
      <c r="H23" s="26"/>
    </row>
    <row r="24" spans="1:8" x14ac:dyDescent="0.25">
      <c r="A24" s="27" t="s">
        <v>27</v>
      </c>
      <c r="B24" s="28" t="s">
        <v>1050</v>
      </c>
      <c r="C24" s="27" t="s">
        <v>1030</v>
      </c>
      <c r="D24" s="27"/>
      <c r="E24" s="27" t="s">
        <v>471</v>
      </c>
      <c r="F24" s="27">
        <v>0</v>
      </c>
      <c r="G24" s="27"/>
      <c r="H24" s="27"/>
    </row>
    <row r="25" spans="1:8" x14ac:dyDescent="0.25">
      <c r="A25" s="26" t="s">
        <v>27</v>
      </c>
      <c r="B25" s="3" t="s">
        <v>1051</v>
      </c>
      <c r="C25" s="26" t="s">
        <v>1025</v>
      </c>
      <c r="D25" s="26"/>
      <c r="E25" s="26" t="s">
        <v>471</v>
      </c>
      <c r="F25" s="26">
        <v>0</v>
      </c>
      <c r="G25" s="26"/>
      <c r="H25" s="26"/>
    </row>
    <row r="26" spans="1:8" x14ac:dyDescent="0.25">
      <c r="A26" s="27" t="s">
        <v>32</v>
      </c>
      <c r="B26" s="28" t="s">
        <v>1052</v>
      </c>
      <c r="C26" s="27" t="s">
        <v>1025</v>
      </c>
      <c r="D26" s="27"/>
      <c r="E26" s="27" t="s">
        <v>471</v>
      </c>
      <c r="F26" s="27">
        <v>0</v>
      </c>
      <c r="G26" s="27"/>
      <c r="H26" s="27"/>
    </row>
    <row r="27" spans="1:8" x14ac:dyDescent="0.25">
      <c r="A27" s="26" t="s">
        <v>32</v>
      </c>
      <c r="B27" s="3" t="s">
        <v>1053</v>
      </c>
      <c r="C27" s="26" t="s">
        <v>1025</v>
      </c>
      <c r="D27" s="26"/>
      <c r="E27" s="26" t="s">
        <v>471</v>
      </c>
      <c r="F27" s="26">
        <v>0</v>
      </c>
      <c r="G27" s="26"/>
      <c r="H27" s="26"/>
    </row>
    <row r="28" spans="1:8" x14ac:dyDescent="0.25">
      <c r="A28" s="27" t="s">
        <v>32</v>
      </c>
      <c r="B28" s="28" t="s">
        <v>1054</v>
      </c>
      <c r="C28" s="27" t="s">
        <v>1025</v>
      </c>
      <c r="D28" s="27"/>
      <c r="E28" s="27" t="s">
        <v>471</v>
      </c>
      <c r="F28" s="27">
        <v>0</v>
      </c>
      <c r="G28" s="27"/>
      <c r="H28" s="27"/>
    </row>
    <row r="29" spans="1:8" x14ac:dyDescent="0.25">
      <c r="A29" s="26" t="s">
        <v>32</v>
      </c>
      <c r="B29" s="3" t="s">
        <v>1055</v>
      </c>
      <c r="C29" s="26" t="s">
        <v>1025</v>
      </c>
      <c r="D29" s="26"/>
      <c r="E29" s="26" t="s">
        <v>471</v>
      </c>
      <c r="F29" s="26">
        <v>0</v>
      </c>
      <c r="G29" s="26"/>
      <c r="H29" s="26"/>
    </row>
    <row r="30" spans="1:8" x14ac:dyDescent="0.25">
      <c r="A30" s="27" t="s">
        <v>32</v>
      </c>
      <c r="B30" s="28" t="s">
        <v>1056</v>
      </c>
      <c r="C30" s="27" t="s">
        <v>1025</v>
      </c>
      <c r="D30" s="27"/>
      <c r="E30" s="27" t="s">
        <v>471</v>
      </c>
      <c r="F30" s="27">
        <v>0</v>
      </c>
      <c r="G30" s="27"/>
      <c r="H30" s="27"/>
    </row>
    <row r="31" spans="1:8" x14ac:dyDescent="0.25">
      <c r="A31" s="26" t="s">
        <v>32</v>
      </c>
      <c r="B31" s="3" t="s">
        <v>1057</v>
      </c>
      <c r="C31" s="26" t="s">
        <v>1025</v>
      </c>
      <c r="D31" s="26"/>
      <c r="E31" s="26" t="s">
        <v>471</v>
      </c>
      <c r="F31" s="26">
        <v>0</v>
      </c>
      <c r="G31" s="26"/>
      <c r="H31" s="26"/>
    </row>
    <row r="32" spans="1:8" x14ac:dyDescent="0.25">
      <c r="A32" s="27" t="s">
        <v>32</v>
      </c>
      <c r="B32" s="28" t="s">
        <v>1058</v>
      </c>
      <c r="C32" s="27" t="s">
        <v>1025</v>
      </c>
      <c r="D32" s="27"/>
      <c r="E32" s="27" t="s">
        <v>471</v>
      </c>
      <c r="F32" s="27">
        <v>0</v>
      </c>
      <c r="G32" s="27"/>
      <c r="H32" s="27"/>
    </row>
    <row r="33" spans="1:8" x14ac:dyDescent="0.25">
      <c r="A33" s="26" t="s">
        <v>32</v>
      </c>
      <c r="B33" s="3" t="s">
        <v>1059</v>
      </c>
      <c r="C33" s="26" t="s">
        <v>1025</v>
      </c>
      <c r="D33" s="26"/>
      <c r="E33" s="26" t="s">
        <v>471</v>
      </c>
      <c r="F33" s="26">
        <v>0</v>
      </c>
      <c r="G33" s="26"/>
      <c r="H33" s="26"/>
    </row>
    <row r="34" spans="1:8" x14ac:dyDescent="0.25">
      <c r="A34" s="27" t="s">
        <v>32</v>
      </c>
      <c r="B34" s="28" t="s">
        <v>1060</v>
      </c>
      <c r="C34" s="27" t="s">
        <v>1025</v>
      </c>
      <c r="D34" s="27"/>
      <c r="E34" s="27" t="s">
        <v>471</v>
      </c>
      <c r="F34" s="27">
        <v>0</v>
      </c>
      <c r="G34" s="27"/>
      <c r="H34" s="27"/>
    </row>
    <row r="35" spans="1:8" x14ac:dyDescent="0.25">
      <c r="A35" s="26" t="s">
        <v>38</v>
      </c>
      <c r="B35" s="3" t="s">
        <v>1061</v>
      </c>
      <c r="C35" s="26" t="s">
        <v>1025</v>
      </c>
      <c r="D35" s="26"/>
      <c r="E35" s="26" t="s">
        <v>471</v>
      </c>
      <c r="F35" s="26">
        <v>0</v>
      </c>
      <c r="G35" s="26"/>
      <c r="H35" s="26"/>
    </row>
    <row r="36" spans="1:8" x14ac:dyDescent="0.25">
      <c r="A36" s="27" t="s">
        <v>38</v>
      </c>
      <c r="B36" s="28" t="s">
        <v>1062</v>
      </c>
      <c r="C36" s="27" t="s">
        <v>1025</v>
      </c>
      <c r="D36" s="27"/>
      <c r="E36" s="27" t="s">
        <v>471</v>
      </c>
      <c r="F36" s="27">
        <v>0</v>
      </c>
      <c r="G36" s="27"/>
      <c r="H36" s="27"/>
    </row>
    <row r="37" spans="1:8" x14ac:dyDescent="0.25">
      <c r="A37" s="26" t="s">
        <v>38</v>
      </c>
      <c r="B37" s="3" t="s">
        <v>1063</v>
      </c>
      <c r="C37" s="26" t="s">
        <v>1025</v>
      </c>
      <c r="D37" s="26"/>
      <c r="E37" s="26" t="s">
        <v>471</v>
      </c>
      <c r="F37" s="26">
        <v>0</v>
      </c>
      <c r="G37" s="26"/>
      <c r="H37" s="26"/>
    </row>
    <row r="38" spans="1:8" x14ac:dyDescent="0.25">
      <c r="A38" s="27" t="s">
        <v>38</v>
      </c>
      <c r="B38" s="28" t="s">
        <v>1064</v>
      </c>
      <c r="C38" s="27" t="s">
        <v>1030</v>
      </c>
      <c r="D38" s="27"/>
      <c r="E38" s="27" t="s">
        <v>471</v>
      </c>
      <c r="F38" s="27">
        <v>0</v>
      </c>
      <c r="G38" s="27"/>
      <c r="H38" s="27"/>
    </row>
    <row r="39" spans="1:8" x14ac:dyDescent="0.25">
      <c r="A39" s="26" t="s">
        <v>38</v>
      </c>
      <c r="B39" s="3" t="s">
        <v>1065</v>
      </c>
      <c r="C39" s="26" t="s">
        <v>1030</v>
      </c>
      <c r="D39" s="26"/>
      <c r="E39" s="26" t="s">
        <v>471</v>
      </c>
      <c r="F39" s="26">
        <v>0</v>
      </c>
      <c r="G39" s="26"/>
      <c r="H39" s="26"/>
    </row>
    <row r="40" spans="1:8" x14ac:dyDescent="0.25">
      <c r="A40" s="27" t="s">
        <v>17</v>
      </c>
      <c r="B40" s="28" t="s">
        <v>1066</v>
      </c>
      <c r="C40" s="27" t="s">
        <v>1025</v>
      </c>
      <c r="D40" s="27"/>
      <c r="E40" s="27" t="s">
        <v>471</v>
      </c>
      <c r="F40" s="27">
        <v>0</v>
      </c>
      <c r="G40" s="27"/>
      <c r="H40" s="27"/>
    </row>
    <row r="41" spans="1:8" x14ac:dyDescent="0.25">
      <c r="A41" s="26" t="s">
        <v>17</v>
      </c>
      <c r="B41" s="3" t="s">
        <v>1067</v>
      </c>
      <c r="C41" s="26" t="s">
        <v>1025</v>
      </c>
      <c r="D41" s="26"/>
      <c r="E41" s="26" t="s">
        <v>471</v>
      </c>
      <c r="F41" s="26">
        <v>0</v>
      </c>
      <c r="G41" s="26"/>
      <c r="H41" s="26"/>
    </row>
    <row r="42" spans="1:8" x14ac:dyDescent="0.25">
      <c r="A42" s="27" t="s">
        <v>17</v>
      </c>
      <c r="B42" s="28" t="s">
        <v>1068</v>
      </c>
      <c r="C42" s="27" t="s">
        <v>1025</v>
      </c>
      <c r="D42" s="27"/>
      <c r="E42" s="27" t="s">
        <v>471</v>
      </c>
      <c r="F42" s="27">
        <v>0</v>
      </c>
      <c r="G42" s="27"/>
      <c r="H42" s="27"/>
    </row>
    <row r="43" spans="1:8" x14ac:dyDescent="0.25">
      <c r="A43" s="26" t="s">
        <v>17</v>
      </c>
      <c r="B43" s="3" t="s">
        <v>1069</v>
      </c>
      <c r="C43" s="26" t="s">
        <v>1025</v>
      </c>
      <c r="D43" s="26"/>
      <c r="E43" s="26" t="s">
        <v>471</v>
      </c>
      <c r="F43" s="26">
        <v>0</v>
      </c>
      <c r="G43" s="26"/>
      <c r="H43" s="26"/>
    </row>
    <row r="44" spans="1:8" x14ac:dyDescent="0.25">
      <c r="A44" s="27" t="s">
        <v>17</v>
      </c>
      <c r="B44" s="28" t="s">
        <v>1070</v>
      </c>
      <c r="C44" s="27" t="s">
        <v>1025</v>
      </c>
      <c r="D44" s="27"/>
      <c r="E44" s="27" t="s">
        <v>471</v>
      </c>
      <c r="F44" s="27">
        <v>0</v>
      </c>
      <c r="G44" s="27"/>
      <c r="H44" s="27"/>
    </row>
    <row r="45" spans="1:8" x14ac:dyDescent="0.25">
      <c r="A45" s="26" t="s">
        <v>1071</v>
      </c>
      <c r="B45" s="3" t="s">
        <v>1072</v>
      </c>
      <c r="C45" s="26" t="s">
        <v>1025</v>
      </c>
      <c r="D45" s="26"/>
      <c r="E45" s="26" t="s">
        <v>471</v>
      </c>
      <c r="F45" s="26">
        <v>0</v>
      </c>
      <c r="G45" s="26"/>
      <c r="H45" s="26"/>
    </row>
    <row r="46" spans="1:8" x14ac:dyDescent="0.25">
      <c r="A46" s="27" t="s">
        <v>1071</v>
      </c>
      <c r="B46" s="28" t="s">
        <v>1073</v>
      </c>
      <c r="C46" s="27" t="s">
        <v>1025</v>
      </c>
      <c r="D46" s="27"/>
      <c r="E46" s="27" t="s">
        <v>471</v>
      </c>
      <c r="F46" s="27">
        <v>0</v>
      </c>
      <c r="G46" s="27"/>
      <c r="H46" s="27"/>
    </row>
    <row r="47" spans="1:8" x14ac:dyDescent="0.25">
      <c r="A47" s="26" t="s">
        <v>1071</v>
      </c>
      <c r="B47" s="3" t="s">
        <v>1074</v>
      </c>
      <c r="C47" s="26" t="s">
        <v>1025</v>
      </c>
      <c r="D47" s="26"/>
      <c r="E47" s="26" t="s">
        <v>471</v>
      </c>
      <c r="F47" s="26">
        <v>0</v>
      </c>
      <c r="G47" s="26"/>
      <c r="H47" s="26"/>
    </row>
    <row r="48" spans="1:8" x14ac:dyDescent="0.25">
      <c r="A48" s="27" t="s">
        <v>1071</v>
      </c>
      <c r="B48" s="28" t="s">
        <v>1075</v>
      </c>
      <c r="C48" s="27" t="s">
        <v>1025</v>
      </c>
      <c r="D48" s="27"/>
      <c r="E48" s="27" t="s">
        <v>471</v>
      </c>
      <c r="F48" s="27">
        <v>0</v>
      </c>
      <c r="G48" s="27"/>
      <c r="H48" s="27"/>
    </row>
    <row r="49" spans="1:8" x14ac:dyDescent="0.25">
      <c r="A49" s="26" t="s">
        <v>1071</v>
      </c>
      <c r="B49" s="3" t="s">
        <v>1076</v>
      </c>
      <c r="C49" s="26" t="s">
        <v>1030</v>
      </c>
      <c r="D49" s="26"/>
      <c r="E49" s="26" t="s">
        <v>471</v>
      </c>
      <c r="F49" s="26">
        <v>0</v>
      </c>
      <c r="G49" s="26"/>
      <c r="H49" s="26"/>
    </row>
    <row r="50" spans="1:8" x14ac:dyDescent="0.25">
      <c r="A50" s="27" t="s">
        <v>1077</v>
      </c>
      <c r="B50" s="28" t="s">
        <v>1078</v>
      </c>
      <c r="C50" s="27" t="s">
        <v>1025</v>
      </c>
      <c r="D50" s="27"/>
      <c r="E50" s="27" t="s">
        <v>471</v>
      </c>
      <c r="F50" s="27">
        <v>0</v>
      </c>
      <c r="G50" s="27"/>
      <c r="H50" s="27"/>
    </row>
    <row r="51" spans="1:8" x14ac:dyDescent="0.25">
      <c r="A51" s="26" t="s">
        <v>1077</v>
      </c>
      <c r="B51" s="3" t="s">
        <v>1079</v>
      </c>
      <c r="C51" s="26" t="s">
        <v>1025</v>
      </c>
      <c r="D51" s="26"/>
      <c r="E51" s="26" t="s">
        <v>471</v>
      </c>
      <c r="F51" s="26">
        <v>0</v>
      </c>
      <c r="G51" s="26"/>
      <c r="H51" s="26"/>
    </row>
    <row r="52" spans="1:8" x14ac:dyDescent="0.25">
      <c r="A52" s="27" t="s">
        <v>1077</v>
      </c>
      <c r="B52" s="28" t="s">
        <v>1080</v>
      </c>
      <c r="C52" s="27" t="s">
        <v>1025</v>
      </c>
      <c r="D52" s="27"/>
      <c r="E52" s="27" t="s">
        <v>471</v>
      </c>
      <c r="F52" s="27">
        <v>0</v>
      </c>
      <c r="G52" s="27"/>
      <c r="H52" s="27"/>
    </row>
    <row r="53" spans="1:8" x14ac:dyDescent="0.25">
      <c r="A53" s="26" t="s">
        <v>1077</v>
      </c>
      <c r="B53" s="3" t="s">
        <v>1081</v>
      </c>
      <c r="C53" s="26" t="s">
        <v>1025</v>
      </c>
      <c r="D53" s="26"/>
      <c r="E53" s="26" t="s">
        <v>471</v>
      </c>
      <c r="F53" s="26">
        <v>0</v>
      </c>
      <c r="G53" s="26"/>
      <c r="H53" s="26"/>
    </row>
    <row r="54" spans="1:8" x14ac:dyDescent="0.25">
      <c r="A54" s="27" t="s">
        <v>1077</v>
      </c>
      <c r="B54" s="28" t="s">
        <v>1082</v>
      </c>
      <c r="C54" s="27" t="s">
        <v>1025</v>
      </c>
      <c r="D54" s="27"/>
      <c r="E54" s="27" t="s">
        <v>471</v>
      </c>
      <c r="F54" s="27">
        <v>0</v>
      </c>
      <c r="G54" s="27"/>
      <c r="H54" s="27"/>
    </row>
    <row r="55" spans="1:8" ht="24" customHeight="1" x14ac:dyDescent="0.25">
      <c r="A55" s="26" t="s">
        <v>1083</v>
      </c>
      <c r="B55" s="3" t="s">
        <v>1084</v>
      </c>
      <c r="C55" s="26" t="s">
        <v>1025</v>
      </c>
      <c r="D55" s="26"/>
      <c r="E55" s="26" t="s">
        <v>471</v>
      </c>
      <c r="F55" s="26">
        <v>0</v>
      </c>
      <c r="G55" s="26"/>
      <c r="H55" s="26"/>
    </row>
    <row r="56" spans="1:8" ht="24" customHeight="1" x14ac:dyDescent="0.25">
      <c r="A56" s="27" t="s">
        <v>1083</v>
      </c>
      <c r="B56" s="28" t="s">
        <v>1085</v>
      </c>
      <c r="C56" s="27" t="s">
        <v>1025</v>
      </c>
      <c r="D56" s="27"/>
      <c r="E56" s="27" t="s">
        <v>471</v>
      </c>
      <c r="F56" s="27">
        <v>0</v>
      </c>
      <c r="G56" s="27"/>
      <c r="H56" s="27"/>
    </row>
    <row r="57" spans="1:8" x14ac:dyDescent="0.25">
      <c r="A57" s="26" t="s">
        <v>1083</v>
      </c>
      <c r="B57" s="3" t="s">
        <v>1086</v>
      </c>
      <c r="C57" s="26" t="s">
        <v>1030</v>
      </c>
      <c r="D57" s="26"/>
      <c r="E57" s="26" t="s">
        <v>471</v>
      </c>
      <c r="F57" s="26">
        <v>0</v>
      </c>
      <c r="G57" s="26"/>
      <c r="H57" s="26"/>
    </row>
    <row r="58" spans="1:8" x14ac:dyDescent="0.25">
      <c r="A58" s="27" t="s">
        <v>1083</v>
      </c>
      <c r="B58" s="28" t="s">
        <v>1087</v>
      </c>
      <c r="C58" s="27" t="s">
        <v>1025</v>
      </c>
      <c r="D58" s="27"/>
      <c r="E58" s="27" t="s">
        <v>471</v>
      </c>
      <c r="F58" s="27">
        <v>0</v>
      </c>
      <c r="G58" s="27"/>
      <c r="H58" s="27"/>
    </row>
    <row r="59" spans="1:8" x14ac:dyDescent="0.25">
      <c r="A59" s="26" t="s">
        <v>1083</v>
      </c>
      <c r="B59" s="3" t="s">
        <v>1088</v>
      </c>
      <c r="C59" s="26" t="s">
        <v>1025</v>
      </c>
      <c r="D59" s="26"/>
      <c r="E59" s="26" t="s">
        <v>471</v>
      </c>
      <c r="F59" s="26">
        <v>0</v>
      </c>
      <c r="G59" s="26"/>
      <c r="H59" s="26"/>
    </row>
    <row r="60" spans="1:8" x14ac:dyDescent="0.25">
      <c r="A60" s="27" t="s">
        <v>54</v>
      </c>
      <c r="B60" s="28" t="s">
        <v>1089</v>
      </c>
      <c r="C60" s="27" t="s">
        <v>1025</v>
      </c>
      <c r="D60" s="27"/>
      <c r="E60" s="27" t="s">
        <v>471</v>
      </c>
      <c r="F60" s="27">
        <v>0</v>
      </c>
      <c r="G60" s="27"/>
      <c r="H60" s="27"/>
    </row>
    <row r="61" spans="1:8" x14ac:dyDescent="0.25">
      <c r="A61" s="26" t="s">
        <v>54</v>
      </c>
      <c r="B61" s="3" t="s">
        <v>1090</v>
      </c>
      <c r="C61" s="26" t="s">
        <v>1025</v>
      </c>
      <c r="D61" s="26"/>
      <c r="E61" s="26" t="s">
        <v>471</v>
      </c>
      <c r="F61" s="26">
        <v>0</v>
      </c>
      <c r="G61" s="26"/>
      <c r="H61" s="26"/>
    </row>
    <row r="62" spans="1:8" x14ac:dyDescent="0.25">
      <c r="A62" s="27" t="s">
        <v>54</v>
      </c>
      <c r="B62" s="28" t="s">
        <v>1091</v>
      </c>
      <c r="C62" s="27" t="s">
        <v>1025</v>
      </c>
      <c r="D62" s="27"/>
      <c r="E62" s="27" t="s">
        <v>471</v>
      </c>
      <c r="F62" s="27">
        <v>0</v>
      </c>
      <c r="G62" s="27"/>
      <c r="H62" s="27"/>
    </row>
    <row r="63" spans="1:8" x14ac:dyDescent="0.25">
      <c r="A63" s="26" t="s">
        <v>54</v>
      </c>
      <c r="B63" s="3" t="s">
        <v>1092</v>
      </c>
      <c r="C63" s="26" t="s">
        <v>1025</v>
      </c>
      <c r="D63" s="26"/>
      <c r="E63" s="26" t="s">
        <v>471</v>
      </c>
      <c r="F63" s="26">
        <v>0</v>
      </c>
      <c r="G63" s="26"/>
      <c r="H63" s="26"/>
    </row>
    <row r="64" spans="1:8" x14ac:dyDescent="0.25">
      <c r="A64" s="27" t="s">
        <v>54</v>
      </c>
      <c r="B64" s="28" t="s">
        <v>1093</v>
      </c>
      <c r="C64" s="27" t="s">
        <v>1025</v>
      </c>
      <c r="D64" s="27"/>
      <c r="E64" s="27" t="s">
        <v>471</v>
      </c>
      <c r="F64" s="27">
        <v>0</v>
      </c>
      <c r="G64" s="27"/>
      <c r="H64" s="27"/>
    </row>
    <row r="65" spans="1:8" x14ac:dyDescent="0.25">
      <c r="A65" s="26" t="s">
        <v>54</v>
      </c>
      <c r="B65" s="3" t="s">
        <v>1094</v>
      </c>
      <c r="C65" s="26" t="s">
        <v>1025</v>
      </c>
      <c r="D65" s="26"/>
      <c r="E65" s="26" t="s">
        <v>471</v>
      </c>
      <c r="F65" s="26">
        <v>0</v>
      </c>
      <c r="G65" s="26"/>
      <c r="H65" s="26"/>
    </row>
    <row r="66" spans="1:8" x14ac:dyDescent="0.25">
      <c r="A66" s="27" t="s">
        <v>1095</v>
      </c>
      <c r="B66" s="28" t="s">
        <v>1096</v>
      </c>
      <c r="C66" s="27" t="s">
        <v>1025</v>
      </c>
      <c r="D66" s="27"/>
      <c r="E66" s="27" t="s">
        <v>471</v>
      </c>
      <c r="F66" s="27">
        <v>0</v>
      </c>
      <c r="G66" s="27"/>
      <c r="H66" s="27"/>
    </row>
    <row r="67" spans="1:8" x14ac:dyDescent="0.25">
      <c r="A67" s="26" t="s">
        <v>1095</v>
      </c>
      <c r="B67" s="3" t="s">
        <v>1097</v>
      </c>
      <c r="C67" s="26" t="s">
        <v>1025</v>
      </c>
      <c r="D67" s="26"/>
      <c r="E67" s="26" t="s">
        <v>471</v>
      </c>
      <c r="F67" s="26">
        <v>0</v>
      </c>
      <c r="G67" s="26"/>
      <c r="H67" s="26"/>
    </row>
    <row r="68" spans="1:8" x14ac:dyDescent="0.25">
      <c r="A68" s="27" t="s">
        <v>1095</v>
      </c>
      <c r="B68" s="28" t="s">
        <v>1098</v>
      </c>
      <c r="C68" s="27" t="s">
        <v>1025</v>
      </c>
      <c r="D68" s="27"/>
      <c r="E68" s="27" t="s">
        <v>471</v>
      </c>
      <c r="F68" s="27">
        <v>0</v>
      </c>
      <c r="G68" s="27"/>
      <c r="H68" s="27"/>
    </row>
    <row r="69" spans="1:8" x14ac:dyDescent="0.25">
      <c r="A69" s="26" t="s">
        <v>1095</v>
      </c>
      <c r="B69" s="3" t="s">
        <v>1099</v>
      </c>
      <c r="C69" s="26" t="s">
        <v>1030</v>
      </c>
      <c r="D69" s="26"/>
      <c r="E69" s="26" t="s">
        <v>471</v>
      </c>
      <c r="F69" s="26">
        <v>0</v>
      </c>
      <c r="G69" s="26"/>
      <c r="H69" s="26"/>
    </row>
    <row r="70" spans="1:8" x14ac:dyDescent="0.25">
      <c r="A70" s="27" t="s">
        <v>1100</v>
      </c>
      <c r="B70" s="28" t="s">
        <v>1101</v>
      </c>
      <c r="C70" s="27" t="s">
        <v>1025</v>
      </c>
      <c r="D70" s="27"/>
      <c r="E70" s="27" t="s">
        <v>471</v>
      </c>
      <c r="F70" s="27">
        <v>0</v>
      </c>
      <c r="G70" s="27"/>
      <c r="H70" s="27"/>
    </row>
    <row r="71" spans="1:8" x14ac:dyDescent="0.25">
      <c r="A71" s="26" t="s">
        <v>1100</v>
      </c>
      <c r="B71" s="3" t="s">
        <v>1102</v>
      </c>
      <c r="C71" s="26" t="s">
        <v>1025</v>
      </c>
      <c r="D71" s="26"/>
      <c r="E71" s="26" t="s">
        <v>471</v>
      </c>
      <c r="F71" s="26">
        <v>0</v>
      </c>
      <c r="G71" s="26"/>
      <c r="H71" s="26"/>
    </row>
    <row r="72" spans="1:8" x14ac:dyDescent="0.25">
      <c r="A72" s="27" t="s">
        <v>1103</v>
      </c>
      <c r="B72" s="28" t="s">
        <v>1104</v>
      </c>
      <c r="C72" s="27" t="s">
        <v>1025</v>
      </c>
      <c r="D72" s="27"/>
      <c r="E72" s="27" t="s">
        <v>471</v>
      </c>
      <c r="F72" s="27">
        <v>0</v>
      </c>
      <c r="G72" s="27"/>
      <c r="H72" s="27"/>
    </row>
    <row r="73" spans="1:8" x14ac:dyDescent="0.25">
      <c r="A73" s="26" t="s">
        <v>1103</v>
      </c>
      <c r="B73" s="3" t="s">
        <v>1105</v>
      </c>
      <c r="C73" s="26" t="s">
        <v>1030</v>
      </c>
      <c r="D73" s="26"/>
      <c r="E73" s="26" t="s">
        <v>471</v>
      </c>
      <c r="F73" s="26">
        <v>0</v>
      </c>
      <c r="G73" s="26"/>
      <c r="H73" s="26"/>
    </row>
    <row r="74" spans="1:8" x14ac:dyDescent="0.25">
      <c r="A74" s="27" t="s">
        <v>1106</v>
      </c>
      <c r="B74" s="28" t="s">
        <v>1107</v>
      </c>
      <c r="C74" s="27" t="s">
        <v>1025</v>
      </c>
      <c r="D74" s="27"/>
      <c r="E74" s="27" t="s">
        <v>471</v>
      </c>
      <c r="F74" s="27">
        <v>0</v>
      </c>
      <c r="G74" s="27"/>
      <c r="H74" s="27"/>
    </row>
    <row r="75" spans="1:8" x14ac:dyDescent="0.25">
      <c r="A75" s="26" t="s">
        <v>1106</v>
      </c>
      <c r="B75" s="3" t="s">
        <v>1108</v>
      </c>
      <c r="C75" s="26" t="s">
        <v>1025</v>
      </c>
      <c r="D75" s="26"/>
      <c r="E75" s="26" t="s">
        <v>471</v>
      </c>
      <c r="F75" s="26">
        <v>0</v>
      </c>
      <c r="G75" s="26"/>
      <c r="H75" s="26"/>
    </row>
    <row r="76" spans="1:8" x14ac:dyDescent="0.25">
      <c r="A76" s="27" t="s">
        <v>1106</v>
      </c>
      <c r="B76" s="28" t="s">
        <v>1109</v>
      </c>
      <c r="C76" s="27" t="s">
        <v>1025</v>
      </c>
      <c r="D76" s="27"/>
      <c r="E76" s="27" t="s">
        <v>471</v>
      </c>
      <c r="F76" s="27">
        <v>0</v>
      </c>
      <c r="G76" s="27"/>
      <c r="H76" s="27"/>
    </row>
    <row r="77" spans="1:8" x14ac:dyDescent="0.25">
      <c r="A77" s="26" t="s">
        <v>1106</v>
      </c>
      <c r="B77" s="3" t="s">
        <v>1110</v>
      </c>
      <c r="C77" s="26" t="s">
        <v>1025</v>
      </c>
      <c r="D77" s="26"/>
      <c r="E77" s="26" t="s">
        <v>471</v>
      </c>
      <c r="F77" s="26">
        <v>0</v>
      </c>
      <c r="G77" s="26"/>
      <c r="H77" s="26"/>
    </row>
    <row r="78" spans="1:8" x14ac:dyDescent="0.25">
      <c r="A78" s="27" t="s">
        <v>1111</v>
      </c>
      <c r="B78" s="28" t="s">
        <v>1112</v>
      </c>
      <c r="C78" s="27" t="s">
        <v>1113</v>
      </c>
      <c r="D78" s="27"/>
      <c r="E78" s="27" t="s">
        <v>471</v>
      </c>
      <c r="F78" s="27">
        <v>0</v>
      </c>
      <c r="G78" s="27"/>
      <c r="H78" s="27" t="s">
        <v>1114</v>
      </c>
    </row>
    <row r="79" spans="1:8" x14ac:dyDescent="0.25">
      <c r="A79" s="26" t="s">
        <v>1111</v>
      </c>
      <c r="B79" s="3" t="s">
        <v>1115</v>
      </c>
      <c r="C79" s="26" t="s">
        <v>1113</v>
      </c>
      <c r="D79" s="26"/>
      <c r="E79" s="26" t="s">
        <v>471</v>
      </c>
      <c r="F79" s="26">
        <v>0</v>
      </c>
      <c r="G79" s="26"/>
      <c r="H79" s="26" t="s">
        <v>1114</v>
      </c>
    </row>
    <row r="80" spans="1:8" x14ac:dyDescent="0.25">
      <c r="A80" s="27" t="s">
        <v>1111</v>
      </c>
      <c r="B80" s="28" t="s">
        <v>1116</v>
      </c>
      <c r="C80" s="27" t="s">
        <v>1113</v>
      </c>
      <c r="D80" s="27"/>
      <c r="E80" s="27" t="s">
        <v>471</v>
      </c>
      <c r="F80" s="27">
        <v>0</v>
      </c>
      <c r="G80" s="27"/>
      <c r="H80" s="27" t="s">
        <v>1117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94560"/>
  </sheetPr>
  <dimension ref="A1:M9"/>
  <sheetViews>
    <sheetView workbookViewId="0">
      <selection sqref="A1:J1"/>
    </sheetView>
  </sheetViews>
  <sheetFormatPr defaultRowHeight="15" x14ac:dyDescent="0.25"/>
  <cols>
    <col min="1" max="1" width="4" style="37" customWidth="1"/>
    <col min="2" max="2" width="26" style="37" customWidth="1"/>
    <col min="3" max="3" width="44" style="37" customWidth="1"/>
    <col min="4" max="4" width="36" style="37" customWidth="1"/>
    <col min="5" max="5" width="44" style="37" customWidth="1"/>
    <col min="6" max="9" width="12" style="37" customWidth="1"/>
    <col min="10" max="10" width="8" style="37" customWidth="1"/>
    <col min="11" max="11" width="28" style="37" customWidth="1"/>
    <col min="12" max="12" width="24" style="37" customWidth="1"/>
    <col min="13" max="13" width="28" style="37" customWidth="1"/>
  </cols>
  <sheetData>
    <row r="1" spans="1:13" ht="32.1" customHeight="1" x14ac:dyDescent="0.25">
      <c r="A1" s="66" t="s">
        <v>1118</v>
      </c>
      <c r="B1" s="52"/>
      <c r="C1" s="52"/>
      <c r="D1" s="52"/>
      <c r="E1" s="52"/>
      <c r="F1" s="52"/>
      <c r="G1" s="52"/>
      <c r="H1" s="52"/>
      <c r="I1" s="52"/>
      <c r="J1" s="52"/>
    </row>
    <row r="2" spans="1:13" x14ac:dyDescent="0.25">
      <c r="A2" s="1" t="s">
        <v>1119</v>
      </c>
      <c r="B2" s="1" t="s">
        <v>1120</v>
      </c>
      <c r="C2" s="1" t="s">
        <v>1121</v>
      </c>
      <c r="D2" s="1" t="s">
        <v>1122</v>
      </c>
      <c r="E2" s="1" t="s">
        <v>1123</v>
      </c>
      <c r="F2" s="1" t="s">
        <v>1124</v>
      </c>
      <c r="G2" s="1" t="s">
        <v>1125</v>
      </c>
      <c r="H2" s="1" t="s">
        <v>1126</v>
      </c>
      <c r="I2" s="1" t="s">
        <v>461</v>
      </c>
      <c r="J2" s="1" t="s">
        <v>1020</v>
      </c>
      <c r="K2" s="1" t="s">
        <v>1127</v>
      </c>
      <c r="L2" s="1" t="s">
        <v>1128</v>
      </c>
      <c r="M2" s="1" t="s">
        <v>465</v>
      </c>
    </row>
    <row r="3" spans="1:13" ht="60" customHeight="1" x14ac:dyDescent="0.25">
      <c r="A3" s="3">
        <v>1</v>
      </c>
      <c r="B3" s="3" t="s">
        <v>1129</v>
      </c>
      <c r="C3" s="3" t="s">
        <v>1130</v>
      </c>
      <c r="D3" s="3" t="s">
        <v>1131</v>
      </c>
      <c r="E3" s="3" t="s">
        <v>1132</v>
      </c>
      <c r="F3" s="3" t="s">
        <v>42</v>
      </c>
      <c r="G3" s="3" t="s">
        <v>657</v>
      </c>
      <c r="H3" s="3" t="s">
        <v>716</v>
      </c>
      <c r="I3" s="3" t="s">
        <v>471</v>
      </c>
      <c r="J3" s="3">
        <v>0</v>
      </c>
      <c r="K3" s="3"/>
      <c r="L3" s="3"/>
      <c r="M3" s="3" t="s">
        <v>1133</v>
      </c>
    </row>
    <row r="4" spans="1:13" ht="60" customHeight="1" x14ac:dyDescent="0.25">
      <c r="A4" s="28">
        <v>2</v>
      </c>
      <c r="B4" s="28" t="s">
        <v>1134</v>
      </c>
      <c r="C4" s="28" t="s">
        <v>1135</v>
      </c>
      <c r="D4" s="28" t="s">
        <v>1136</v>
      </c>
      <c r="E4" s="28" t="s">
        <v>1137</v>
      </c>
      <c r="F4" s="28" t="s">
        <v>209</v>
      </c>
      <c r="G4" s="28" t="s">
        <v>837</v>
      </c>
      <c r="H4" s="28" t="s">
        <v>897</v>
      </c>
      <c r="I4" s="28" t="s">
        <v>471</v>
      </c>
      <c r="J4" s="28">
        <v>0</v>
      </c>
      <c r="K4" s="28"/>
      <c r="L4" s="28"/>
      <c r="M4" s="28" t="s">
        <v>1138</v>
      </c>
    </row>
    <row r="5" spans="1:13" ht="60" customHeight="1" x14ac:dyDescent="0.25">
      <c r="A5" s="3">
        <v>3</v>
      </c>
      <c r="B5" s="3" t="s">
        <v>1139</v>
      </c>
      <c r="C5" s="3" t="s">
        <v>1140</v>
      </c>
      <c r="D5" s="3" t="s">
        <v>1141</v>
      </c>
      <c r="E5" s="3" t="s">
        <v>1142</v>
      </c>
      <c r="F5" s="3" t="s">
        <v>1143</v>
      </c>
      <c r="G5" s="3" t="s">
        <v>719</v>
      </c>
      <c r="H5" s="3" t="s">
        <v>805</v>
      </c>
      <c r="I5" s="3" t="s">
        <v>471</v>
      </c>
      <c r="J5" s="3">
        <v>0</v>
      </c>
      <c r="K5" s="3"/>
      <c r="L5" s="3"/>
      <c r="M5" s="3" t="s">
        <v>1144</v>
      </c>
    </row>
    <row r="6" spans="1:13" ht="60" customHeight="1" x14ac:dyDescent="0.25">
      <c r="A6" s="28">
        <v>4</v>
      </c>
      <c r="B6" s="28" t="s">
        <v>1145</v>
      </c>
      <c r="C6" s="28" t="s">
        <v>1146</v>
      </c>
      <c r="D6" s="28" t="s">
        <v>1147</v>
      </c>
      <c r="E6" s="28" t="s">
        <v>1148</v>
      </c>
      <c r="F6" s="28" t="s">
        <v>190</v>
      </c>
      <c r="G6" s="28" t="s">
        <v>748</v>
      </c>
      <c r="H6" s="28" t="s">
        <v>788</v>
      </c>
      <c r="I6" s="28" t="s">
        <v>471</v>
      </c>
      <c r="J6" s="28">
        <v>0</v>
      </c>
      <c r="K6" s="28"/>
      <c r="L6" s="28"/>
      <c r="M6" s="28" t="s">
        <v>1149</v>
      </c>
    </row>
    <row r="7" spans="1:13" ht="60" customHeight="1" x14ac:dyDescent="0.25">
      <c r="A7" s="3">
        <v>5</v>
      </c>
      <c r="B7" s="3" t="s">
        <v>1150</v>
      </c>
      <c r="C7" s="3" t="s">
        <v>1151</v>
      </c>
      <c r="D7" s="3" t="s">
        <v>1152</v>
      </c>
      <c r="E7" s="3" t="s">
        <v>1153</v>
      </c>
      <c r="F7" s="3" t="s">
        <v>57</v>
      </c>
      <c r="G7" s="3" t="s">
        <v>808</v>
      </c>
      <c r="H7" s="3" t="s">
        <v>834</v>
      </c>
      <c r="I7" s="3" t="s">
        <v>471</v>
      </c>
      <c r="J7" s="3">
        <v>0</v>
      </c>
      <c r="K7" s="3"/>
      <c r="L7" s="3"/>
      <c r="M7" s="3" t="s">
        <v>1154</v>
      </c>
    </row>
    <row r="8" spans="1:13" ht="60" customHeight="1" x14ac:dyDescent="0.25">
      <c r="A8" s="28">
        <v>6</v>
      </c>
      <c r="B8" s="28" t="s">
        <v>1155</v>
      </c>
      <c r="C8" s="28" t="s">
        <v>1156</v>
      </c>
      <c r="D8" s="28" t="s">
        <v>1157</v>
      </c>
      <c r="E8" s="28" t="s">
        <v>1158</v>
      </c>
      <c r="F8" s="28" t="s">
        <v>216</v>
      </c>
      <c r="G8" s="28" t="s">
        <v>868</v>
      </c>
      <c r="H8" s="28" t="s">
        <v>897</v>
      </c>
      <c r="I8" s="28" t="s">
        <v>471</v>
      </c>
      <c r="J8" s="28">
        <v>0</v>
      </c>
      <c r="K8" s="28"/>
      <c r="L8" s="28"/>
      <c r="M8" s="28" t="s">
        <v>1159</v>
      </c>
    </row>
    <row r="9" spans="1:13" ht="60" customHeight="1" x14ac:dyDescent="0.25">
      <c r="A9" s="3">
        <v>7</v>
      </c>
      <c r="B9" s="3" t="s">
        <v>1160</v>
      </c>
      <c r="C9" s="3" t="s">
        <v>1161</v>
      </c>
      <c r="D9" s="3" t="s">
        <v>1162</v>
      </c>
      <c r="E9" s="3" t="s">
        <v>1163</v>
      </c>
      <c r="F9" s="3" t="s">
        <v>52</v>
      </c>
      <c r="G9" s="3" t="s">
        <v>777</v>
      </c>
      <c r="H9" s="3" t="s">
        <v>101</v>
      </c>
      <c r="I9" s="3" t="s">
        <v>471</v>
      </c>
      <c r="J9" s="3">
        <v>0</v>
      </c>
      <c r="K9" s="3"/>
      <c r="L9" s="3"/>
      <c r="M9" s="3" t="s">
        <v>1164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B59B6"/>
  </sheetPr>
  <dimension ref="A1:G39"/>
  <sheetViews>
    <sheetView workbookViewId="0">
      <pane ySplit="2" topLeftCell="A34" activePane="bottomLeft" state="frozen"/>
      <selection pane="bottomLeft" activeCell="B3" sqref="B3"/>
    </sheetView>
  </sheetViews>
  <sheetFormatPr defaultRowHeight="15" x14ac:dyDescent="0.25"/>
  <cols>
    <col min="1" max="1" width="16" style="37" customWidth="1"/>
    <col min="2" max="2" width="50" style="37" customWidth="1"/>
    <col min="3" max="3" width="52" style="37" customWidth="1"/>
    <col min="4" max="4" width="10" style="37" customWidth="1"/>
    <col min="5" max="5" width="11" style="37" customWidth="1"/>
    <col min="6" max="6" width="14" style="37" customWidth="1"/>
    <col min="7" max="7" width="16" style="37" customWidth="1"/>
  </cols>
  <sheetData>
    <row r="1" spans="1:7" ht="32.1" customHeight="1" x14ac:dyDescent="0.25">
      <c r="A1" s="66" t="s">
        <v>1165</v>
      </c>
      <c r="B1" s="52"/>
      <c r="C1" s="52"/>
      <c r="D1" s="52"/>
      <c r="E1" s="52"/>
      <c r="F1" s="52"/>
      <c r="G1" s="52"/>
    </row>
    <row r="2" spans="1:7" x14ac:dyDescent="0.25">
      <c r="A2" s="1" t="s">
        <v>1016</v>
      </c>
      <c r="B2" s="1" t="s">
        <v>1166</v>
      </c>
      <c r="C2" s="1" t="s">
        <v>1167</v>
      </c>
      <c r="D2" s="1" t="s">
        <v>1168</v>
      </c>
      <c r="E2" s="1" t="s">
        <v>1169</v>
      </c>
      <c r="F2" s="1" t="s">
        <v>1170</v>
      </c>
      <c r="G2" s="1" t="s">
        <v>1171</v>
      </c>
    </row>
    <row r="3" spans="1:7" ht="48" customHeight="1" x14ac:dyDescent="0.25">
      <c r="A3" s="29" t="s">
        <v>468</v>
      </c>
      <c r="B3" s="3" t="s">
        <v>1172</v>
      </c>
      <c r="C3" s="3" t="s">
        <v>1173</v>
      </c>
      <c r="D3" s="29" t="s">
        <v>1174</v>
      </c>
      <c r="E3" s="29" t="s">
        <v>89</v>
      </c>
      <c r="F3" s="29">
        <v>0</v>
      </c>
      <c r="G3" s="29" t="s">
        <v>1175</v>
      </c>
    </row>
    <row r="4" spans="1:7" ht="48" customHeight="1" x14ac:dyDescent="0.25">
      <c r="A4" s="30" t="s">
        <v>468</v>
      </c>
      <c r="B4" s="28" t="s">
        <v>1176</v>
      </c>
      <c r="C4" s="28" t="s">
        <v>1177</v>
      </c>
      <c r="D4" s="30" t="s">
        <v>1178</v>
      </c>
      <c r="E4" s="30" t="s">
        <v>89</v>
      </c>
      <c r="F4" s="30">
        <v>0</v>
      </c>
      <c r="G4" s="30" t="s">
        <v>1175</v>
      </c>
    </row>
    <row r="5" spans="1:7" ht="48" customHeight="1" x14ac:dyDescent="0.25">
      <c r="A5" s="29" t="s">
        <v>468</v>
      </c>
      <c r="B5" s="3" t="s">
        <v>1179</v>
      </c>
      <c r="C5" s="3" t="s">
        <v>1180</v>
      </c>
      <c r="D5" s="29" t="s">
        <v>1174</v>
      </c>
      <c r="E5" s="29" t="s">
        <v>89</v>
      </c>
      <c r="F5" s="29">
        <v>0</v>
      </c>
      <c r="G5" s="29" t="s">
        <v>1175</v>
      </c>
    </row>
    <row r="6" spans="1:7" ht="48" customHeight="1" x14ac:dyDescent="0.25">
      <c r="A6" s="30" t="s">
        <v>468</v>
      </c>
      <c r="B6" s="28" t="s">
        <v>1181</v>
      </c>
      <c r="C6" s="28" t="s">
        <v>1182</v>
      </c>
      <c r="D6" s="30" t="s">
        <v>1178</v>
      </c>
      <c r="E6" s="30" t="s">
        <v>89</v>
      </c>
      <c r="F6" s="30">
        <v>0</v>
      </c>
      <c r="G6" s="30" t="s">
        <v>1175</v>
      </c>
    </row>
    <row r="7" spans="1:7" ht="48" customHeight="1" x14ac:dyDescent="0.25">
      <c r="A7" s="30" t="s">
        <v>476</v>
      </c>
      <c r="B7" s="3" t="s">
        <v>1183</v>
      </c>
      <c r="C7" s="3" t="s">
        <v>1184</v>
      </c>
      <c r="D7" s="30" t="s">
        <v>1178</v>
      </c>
      <c r="E7" s="30" t="s">
        <v>89</v>
      </c>
      <c r="F7" s="30">
        <v>0</v>
      </c>
      <c r="G7" s="30" t="s">
        <v>1175</v>
      </c>
    </row>
    <row r="8" spans="1:7" ht="48" customHeight="1" x14ac:dyDescent="0.25">
      <c r="A8" s="30" t="s">
        <v>476</v>
      </c>
      <c r="B8" s="28" t="s">
        <v>1185</v>
      </c>
      <c r="C8" s="28" t="s">
        <v>1186</v>
      </c>
      <c r="D8" s="30" t="s">
        <v>1178</v>
      </c>
      <c r="E8" s="30" t="s">
        <v>89</v>
      </c>
      <c r="F8" s="30">
        <v>0</v>
      </c>
      <c r="G8" s="30" t="s">
        <v>1175</v>
      </c>
    </row>
    <row r="9" spans="1:7" ht="48" customHeight="1" x14ac:dyDescent="0.25">
      <c r="A9" s="29" t="s">
        <v>569</v>
      </c>
      <c r="B9" s="3" t="s">
        <v>1187</v>
      </c>
      <c r="C9" s="3" t="s">
        <v>1188</v>
      </c>
      <c r="D9" s="29" t="s">
        <v>1174</v>
      </c>
      <c r="E9" s="29" t="s">
        <v>89</v>
      </c>
      <c r="F9" s="29">
        <v>0</v>
      </c>
      <c r="G9" s="29" t="s">
        <v>1189</v>
      </c>
    </row>
    <row r="10" spans="1:7" ht="48" customHeight="1" x14ac:dyDescent="0.25">
      <c r="A10" s="29" t="s">
        <v>569</v>
      </c>
      <c r="B10" s="28" t="s">
        <v>1190</v>
      </c>
      <c r="C10" s="28" t="s">
        <v>1191</v>
      </c>
      <c r="D10" s="29" t="s">
        <v>1174</v>
      </c>
      <c r="E10" s="29" t="s">
        <v>89</v>
      </c>
      <c r="F10" s="29">
        <v>0</v>
      </c>
      <c r="G10" s="29" t="s">
        <v>1189</v>
      </c>
    </row>
    <row r="11" spans="1:7" ht="48" customHeight="1" x14ac:dyDescent="0.25">
      <c r="A11" s="29" t="s">
        <v>569</v>
      </c>
      <c r="B11" s="3" t="s">
        <v>1192</v>
      </c>
      <c r="C11" s="3" t="s">
        <v>1193</v>
      </c>
      <c r="D11" s="29" t="s">
        <v>1174</v>
      </c>
      <c r="E11" s="29" t="s">
        <v>89</v>
      </c>
      <c r="F11" s="29">
        <v>0</v>
      </c>
      <c r="G11" s="29" t="s">
        <v>1175</v>
      </c>
    </row>
    <row r="12" spans="1:7" ht="48" customHeight="1" x14ac:dyDescent="0.25">
      <c r="A12" s="30" t="s">
        <v>540</v>
      </c>
      <c r="B12" s="28" t="s">
        <v>1194</v>
      </c>
      <c r="C12" s="28" t="s">
        <v>1195</v>
      </c>
      <c r="D12" s="30" t="s">
        <v>1178</v>
      </c>
      <c r="E12" s="30" t="s">
        <v>89</v>
      </c>
      <c r="F12" s="30">
        <v>0</v>
      </c>
      <c r="G12" s="30" t="s">
        <v>1175</v>
      </c>
    </row>
    <row r="13" spans="1:7" ht="48" customHeight="1" x14ac:dyDescent="0.25">
      <c r="A13" s="29" t="s">
        <v>540</v>
      </c>
      <c r="B13" s="3" t="s">
        <v>1196</v>
      </c>
      <c r="C13" s="3" t="s">
        <v>1197</v>
      </c>
      <c r="D13" s="29" t="s">
        <v>1174</v>
      </c>
      <c r="E13" s="29" t="s">
        <v>89</v>
      </c>
      <c r="F13" s="29">
        <v>0</v>
      </c>
      <c r="G13" s="29" t="s">
        <v>1175</v>
      </c>
    </row>
    <row r="14" spans="1:7" ht="48" customHeight="1" x14ac:dyDescent="0.25">
      <c r="A14" s="29" t="s">
        <v>599</v>
      </c>
      <c r="B14" s="28" t="s">
        <v>1198</v>
      </c>
      <c r="C14" s="28" t="s">
        <v>1199</v>
      </c>
      <c r="D14" s="29" t="s">
        <v>1174</v>
      </c>
      <c r="E14" s="29" t="s">
        <v>89</v>
      </c>
      <c r="F14" s="29">
        <v>0</v>
      </c>
      <c r="G14" s="29" t="s">
        <v>1175</v>
      </c>
    </row>
    <row r="15" spans="1:7" ht="48" customHeight="1" x14ac:dyDescent="0.25">
      <c r="A15" s="29" t="s">
        <v>599</v>
      </c>
      <c r="B15" s="3" t="s">
        <v>1200</v>
      </c>
      <c r="C15" s="3" t="s">
        <v>1201</v>
      </c>
      <c r="D15" s="29" t="s">
        <v>1174</v>
      </c>
      <c r="E15" s="29" t="s">
        <v>89</v>
      </c>
      <c r="F15" s="29">
        <v>0</v>
      </c>
      <c r="G15" s="29" t="s">
        <v>1189</v>
      </c>
    </row>
    <row r="16" spans="1:7" ht="48" customHeight="1" x14ac:dyDescent="0.25">
      <c r="A16" s="29" t="s">
        <v>599</v>
      </c>
      <c r="B16" s="28" t="s">
        <v>1202</v>
      </c>
      <c r="C16" s="28" t="s">
        <v>1203</v>
      </c>
      <c r="D16" s="29" t="s">
        <v>1174</v>
      </c>
      <c r="E16" s="29" t="s">
        <v>89</v>
      </c>
      <c r="F16" s="29">
        <v>0</v>
      </c>
      <c r="G16" s="29" t="s">
        <v>1175</v>
      </c>
    </row>
    <row r="17" spans="1:7" ht="48" customHeight="1" x14ac:dyDescent="0.25">
      <c r="A17" s="29" t="s">
        <v>599</v>
      </c>
      <c r="B17" s="3" t="s">
        <v>1204</v>
      </c>
      <c r="C17" s="3" t="s">
        <v>1205</v>
      </c>
      <c r="D17" s="29" t="s">
        <v>1174</v>
      </c>
      <c r="E17" s="29" t="s">
        <v>89</v>
      </c>
      <c r="F17" s="29">
        <v>0</v>
      </c>
      <c r="G17" s="29" t="s">
        <v>1175</v>
      </c>
    </row>
    <row r="18" spans="1:7" ht="48" customHeight="1" x14ac:dyDescent="0.25">
      <c r="A18" s="29" t="s">
        <v>599</v>
      </c>
      <c r="B18" s="28" t="s">
        <v>1206</v>
      </c>
      <c r="C18" s="28" t="s">
        <v>1207</v>
      </c>
      <c r="D18" s="29" t="s">
        <v>1174</v>
      </c>
      <c r="E18" s="29" t="s">
        <v>89</v>
      </c>
      <c r="F18" s="29">
        <v>0</v>
      </c>
      <c r="G18" s="29" t="s">
        <v>1175</v>
      </c>
    </row>
    <row r="19" spans="1:7" ht="48" customHeight="1" x14ac:dyDescent="0.25">
      <c r="A19" s="29" t="s">
        <v>599</v>
      </c>
      <c r="B19" s="3" t="s">
        <v>1208</v>
      </c>
      <c r="C19" s="3" t="s">
        <v>1209</v>
      </c>
      <c r="D19" s="29" t="s">
        <v>1174</v>
      </c>
      <c r="E19" s="29" t="s">
        <v>89</v>
      </c>
      <c r="F19" s="29">
        <v>0</v>
      </c>
      <c r="G19" s="29" t="s">
        <v>1175</v>
      </c>
    </row>
    <row r="20" spans="1:7" ht="48" customHeight="1" x14ac:dyDescent="0.25">
      <c r="A20" s="29" t="s">
        <v>658</v>
      </c>
      <c r="B20" s="28" t="s">
        <v>1210</v>
      </c>
      <c r="C20" s="28" t="s">
        <v>1211</v>
      </c>
      <c r="D20" s="29" t="s">
        <v>1174</v>
      </c>
      <c r="E20" s="29" t="s">
        <v>89</v>
      </c>
      <c r="F20" s="29">
        <v>0</v>
      </c>
      <c r="G20" s="29" t="s">
        <v>1189</v>
      </c>
    </row>
    <row r="21" spans="1:7" ht="48" customHeight="1" x14ac:dyDescent="0.25">
      <c r="A21" s="29" t="s">
        <v>658</v>
      </c>
      <c r="B21" s="3" t="s">
        <v>1212</v>
      </c>
      <c r="C21" s="3" t="s">
        <v>1213</v>
      </c>
      <c r="D21" s="29" t="s">
        <v>1174</v>
      </c>
      <c r="E21" s="29" t="s">
        <v>89</v>
      </c>
      <c r="F21" s="29">
        <v>0</v>
      </c>
      <c r="G21" s="29" t="s">
        <v>1175</v>
      </c>
    </row>
    <row r="22" spans="1:7" ht="48" customHeight="1" x14ac:dyDescent="0.25">
      <c r="A22" s="29" t="s">
        <v>658</v>
      </c>
      <c r="B22" s="28" t="s">
        <v>1214</v>
      </c>
      <c r="C22" s="28" t="s">
        <v>1215</v>
      </c>
      <c r="D22" s="29" t="s">
        <v>1174</v>
      </c>
      <c r="E22" s="29" t="s">
        <v>89</v>
      </c>
      <c r="F22" s="29">
        <v>0</v>
      </c>
      <c r="G22" s="29" t="s">
        <v>1175</v>
      </c>
    </row>
    <row r="23" spans="1:7" ht="48" customHeight="1" x14ac:dyDescent="0.25">
      <c r="A23" s="31" t="s">
        <v>1216</v>
      </c>
      <c r="B23" s="3" t="s">
        <v>1217</v>
      </c>
      <c r="C23" s="3" t="s">
        <v>1218</v>
      </c>
      <c r="D23" s="31" t="s">
        <v>1174</v>
      </c>
      <c r="E23" s="31" t="s">
        <v>89</v>
      </c>
      <c r="F23" s="31">
        <v>0</v>
      </c>
      <c r="G23" s="31" t="s">
        <v>1175</v>
      </c>
    </row>
    <row r="24" spans="1:7" ht="48" customHeight="1" x14ac:dyDescent="0.25">
      <c r="A24" s="29" t="s">
        <v>1216</v>
      </c>
      <c r="B24" s="28" t="s">
        <v>1219</v>
      </c>
      <c r="C24" s="28" t="s">
        <v>1220</v>
      </c>
      <c r="D24" s="29" t="s">
        <v>1174</v>
      </c>
      <c r="E24" s="29" t="s">
        <v>89</v>
      </c>
      <c r="F24" s="29">
        <v>0</v>
      </c>
      <c r="G24" s="29" t="s">
        <v>1175</v>
      </c>
    </row>
    <row r="25" spans="1:7" ht="48" customHeight="1" x14ac:dyDescent="0.25">
      <c r="A25" s="29" t="s">
        <v>1221</v>
      </c>
      <c r="B25" s="3" t="s">
        <v>1222</v>
      </c>
      <c r="C25" s="3" t="s">
        <v>1223</v>
      </c>
      <c r="D25" s="29" t="s">
        <v>1174</v>
      </c>
      <c r="E25" s="29" t="s">
        <v>89</v>
      </c>
      <c r="F25" s="29">
        <v>0</v>
      </c>
      <c r="G25" s="29" t="s">
        <v>1175</v>
      </c>
    </row>
    <row r="26" spans="1:7" ht="48" customHeight="1" x14ac:dyDescent="0.25">
      <c r="A26" s="31" t="s">
        <v>720</v>
      </c>
      <c r="B26" s="28" t="s">
        <v>1224</v>
      </c>
      <c r="C26" s="28" t="s">
        <v>1225</v>
      </c>
      <c r="D26" s="31" t="s">
        <v>1174</v>
      </c>
      <c r="E26" s="31" t="s">
        <v>89</v>
      </c>
      <c r="F26" s="31">
        <v>0</v>
      </c>
      <c r="G26" s="31" t="s">
        <v>1175</v>
      </c>
    </row>
    <row r="27" spans="1:7" ht="48" customHeight="1" x14ac:dyDescent="0.25">
      <c r="A27" s="29" t="s">
        <v>720</v>
      </c>
      <c r="B27" s="3" t="s">
        <v>1226</v>
      </c>
      <c r="C27" s="3" t="s">
        <v>1227</v>
      </c>
      <c r="D27" s="29" t="s">
        <v>1174</v>
      </c>
      <c r="E27" s="29" t="s">
        <v>89</v>
      </c>
      <c r="F27" s="29">
        <v>0</v>
      </c>
      <c r="G27" s="29" t="s">
        <v>1189</v>
      </c>
    </row>
    <row r="28" spans="1:7" ht="48" customHeight="1" x14ac:dyDescent="0.25">
      <c r="A28" s="29" t="s">
        <v>720</v>
      </c>
      <c r="B28" s="28" t="s">
        <v>1228</v>
      </c>
      <c r="C28" s="28" t="s">
        <v>1229</v>
      </c>
      <c r="D28" s="29" t="s">
        <v>1174</v>
      </c>
      <c r="E28" s="29" t="s">
        <v>89</v>
      </c>
      <c r="F28" s="29">
        <v>0</v>
      </c>
      <c r="G28" s="29" t="s">
        <v>1175</v>
      </c>
    </row>
    <row r="29" spans="1:7" ht="48" customHeight="1" x14ac:dyDescent="0.25">
      <c r="A29" s="31" t="s">
        <v>778</v>
      </c>
      <c r="B29" s="3" t="s">
        <v>1230</v>
      </c>
      <c r="C29" s="3" t="s">
        <v>1231</v>
      </c>
      <c r="D29" s="31" t="s">
        <v>1174</v>
      </c>
      <c r="E29" s="31" t="s">
        <v>89</v>
      </c>
      <c r="F29" s="31">
        <v>0</v>
      </c>
      <c r="G29" s="31" t="s">
        <v>1189</v>
      </c>
    </row>
    <row r="30" spans="1:7" ht="48" customHeight="1" x14ac:dyDescent="0.25">
      <c r="A30" s="30" t="s">
        <v>778</v>
      </c>
      <c r="B30" s="28" t="s">
        <v>1232</v>
      </c>
      <c r="C30" s="28" t="s">
        <v>1233</v>
      </c>
      <c r="D30" s="30" t="s">
        <v>1178</v>
      </c>
      <c r="E30" s="30" t="s">
        <v>89</v>
      </c>
      <c r="F30" s="30">
        <v>0</v>
      </c>
      <c r="G30" s="30" t="s">
        <v>1175</v>
      </c>
    </row>
    <row r="31" spans="1:7" ht="48" customHeight="1" x14ac:dyDescent="0.25">
      <c r="A31" s="31" t="s">
        <v>809</v>
      </c>
      <c r="B31" s="3" t="s">
        <v>1234</v>
      </c>
      <c r="C31" s="3" t="s">
        <v>1235</v>
      </c>
      <c r="D31" s="31" t="s">
        <v>1174</v>
      </c>
      <c r="E31" s="31" t="s">
        <v>89</v>
      </c>
      <c r="F31" s="31">
        <v>0</v>
      </c>
      <c r="G31" s="31" t="s">
        <v>1189</v>
      </c>
    </row>
    <row r="32" spans="1:7" ht="48" customHeight="1" x14ac:dyDescent="0.25">
      <c r="A32" s="29" t="s">
        <v>809</v>
      </c>
      <c r="B32" s="28" t="s">
        <v>1236</v>
      </c>
      <c r="C32" s="28" t="s">
        <v>1237</v>
      </c>
      <c r="D32" s="29" t="s">
        <v>1174</v>
      </c>
      <c r="E32" s="29" t="s">
        <v>89</v>
      </c>
      <c r="F32" s="29">
        <v>0</v>
      </c>
      <c r="G32" s="29" t="s">
        <v>1189</v>
      </c>
    </row>
    <row r="33" spans="1:7" ht="48" customHeight="1" x14ac:dyDescent="0.25">
      <c r="A33" s="29" t="s">
        <v>838</v>
      </c>
      <c r="B33" s="3" t="s">
        <v>1238</v>
      </c>
      <c r="C33" s="3" t="s">
        <v>1239</v>
      </c>
      <c r="D33" s="29" t="s">
        <v>1174</v>
      </c>
      <c r="E33" s="29" t="s">
        <v>89</v>
      </c>
      <c r="F33" s="29">
        <v>0</v>
      </c>
      <c r="G33" s="29" t="s">
        <v>1175</v>
      </c>
    </row>
    <row r="34" spans="1:7" ht="48" customHeight="1" x14ac:dyDescent="0.25">
      <c r="A34" s="29" t="s">
        <v>838</v>
      </c>
      <c r="B34" s="28" t="s">
        <v>1240</v>
      </c>
      <c r="C34" s="28" t="s">
        <v>1241</v>
      </c>
      <c r="D34" s="29" t="s">
        <v>1174</v>
      </c>
      <c r="E34" s="29" t="s">
        <v>89</v>
      </c>
      <c r="F34" s="29">
        <v>0</v>
      </c>
      <c r="G34" s="29" t="s">
        <v>1175</v>
      </c>
    </row>
    <row r="35" spans="1:7" ht="48" customHeight="1" x14ac:dyDescent="0.25">
      <c r="A35" s="31" t="s">
        <v>900</v>
      </c>
      <c r="B35" s="3" t="s">
        <v>1242</v>
      </c>
      <c r="C35" s="3" t="s">
        <v>1243</v>
      </c>
      <c r="D35" s="31" t="s">
        <v>1174</v>
      </c>
      <c r="E35" s="31" t="s">
        <v>89</v>
      </c>
      <c r="F35" s="31">
        <v>0</v>
      </c>
      <c r="G35" s="31" t="s">
        <v>1189</v>
      </c>
    </row>
    <row r="36" spans="1:7" ht="48" customHeight="1" x14ac:dyDescent="0.25">
      <c r="A36" s="31" t="s">
        <v>900</v>
      </c>
      <c r="B36" s="28" t="s">
        <v>1244</v>
      </c>
      <c r="C36" s="28" t="s">
        <v>1245</v>
      </c>
      <c r="D36" s="31" t="s">
        <v>1174</v>
      </c>
      <c r="E36" s="31" t="s">
        <v>89</v>
      </c>
      <c r="F36" s="31">
        <v>0</v>
      </c>
      <c r="G36" s="31" t="s">
        <v>1189</v>
      </c>
    </row>
    <row r="37" spans="1:7" ht="48" customHeight="1" x14ac:dyDescent="0.25">
      <c r="A37" s="30" t="s">
        <v>1246</v>
      </c>
      <c r="B37" s="3" t="s">
        <v>1247</v>
      </c>
      <c r="C37" s="3" t="s">
        <v>1248</v>
      </c>
      <c r="D37" s="30" t="s">
        <v>1178</v>
      </c>
      <c r="E37" s="30" t="s">
        <v>89</v>
      </c>
      <c r="F37" s="30">
        <v>0</v>
      </c>
      <c r="G37" s="30" t="s">
        <v>1189</v>
      </c>
    </row>
    <row r="38" spans="1:7" ht="48" customHeight="1" x14ac:dyDescent="0.25">
      <c r="A38" s="29" t="s">
        <v>1246</v>
      </c>
      <c r="B38" s="28" t="s">
        <v>1249</v>
      </c>
      <c r="C38" s="28" t="s">
        <v>1250</v>
      </c>
      <c r="D38" s="29" t="s">
        <v>1174</v>
      </c>
      <c r="E38" s="29" t="s">
        <v>89</v>
      </c>
      <c r="F38" s="29">
        <v>0</v>
      </c>
      <c r="G38" s="29" t="s">
        <v>1189</v>
      </c>
    </row>
    <row r="39" spans="1:7" ht="48" customHeight="1" x14ac:dyDescent="0.25">
      <c r="A39" s="30" t="s">
        <v>1246</v>
      </c>
      <c r="B39" s="3" t="s">
        <v>1251</v>
      </c>
      <c r="C39" s="3" t="s">
        <v>1252</v>
      </c>
      <c r="D39" s="30" t="s">
        <v>1178</v>
      </c>
      <c r="E39" s="30" t="s">
        <v>89</v>
      </c>
      <c r="F39" s="30">
        <v>0</v>
      </c>
      <c r="G39" s="30" t="s">
        <v>1189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6A085"/>
  </sheetPr>
  <dimension ref="A1:J82"/>
  <sheetViews>
    <sheetView workbookViewId="0">
      <pane ySplit="2" topLeftCell="A3" activePane="bottomLeft" state="frozen"/>
      <selection pane="bottomLeft" activeCell="G3" sqref="G3"/>
    </sheetView>
  </sheetViews>
  <sheetFormatPr defaultRowHeight="15" x14ac:dyDescent="0.25"/>
  <cols>
    <col min="1" max="1" width="13" style="37" customWidth="1"/>
    <col min="2" max="2" width="22" style="37" customWidth="1"/>
    <col min="3" max="3" width="30" style="37" customWidth="1"/>
    <col min="4" max="5" width="14" style="37" customWidth="1"/>
    <col min="6" max="6" width="28" style="37" customWidth="1"/>
    <col min="7" max="8" width="14" style="37" customWidth="1"/>
    <col min="9" max="9" width="22" style="37" customWidth="1"/>
    <col min="10" max="10" width="28" style="37" customWidth="1"/>
  </cols>
  <sheetData>
    <row r="1" spans="1:10" ht="32.1" customHeight="1" x14ac:dyDescent="0.25">
      <c r="A1" s="66" t="s">
        <v>1253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x14ac:dyDescent="0.25">
      <c r="A2" s="1" t="s">
        <v>1254</v>
      </c>
      <c r="B2" s="1" t="s">
        <v>1255</v>
      </c>
      <c r="C2" s="1" t="s">
        <v>1256</v>
      </c>
      <c r="D2" s="1" t="s">
        <v>1257</v>
      </c>
      <c r="E2" s="1" t="s">
        <v>1258</v>
      </c>
      <c r="F2" s="1" t="s">
        <v>1259</v>
      </c>
      <c r="G2" s="1" t="s">
        <v>1260</v>
      </c>
      <c r="H2" s="1" t="s">
        <v>1261</v>
      </c>
      <c r="I2" s="1" t="s">
        <v>1262</v>
      </c>
      <c r="J2" s="1" t="s">
        <v>465</v>
      </c>
    </row>
    <row r="3" spans="1:10" ht="18" customHeight="1" x14ac:dyDescent="0.25">
      <c r="A3" s="26"/>
      <c r="B3" s="26"/>
      <c r="C3" s="26"/>
      <c r="D3" s="26"/>
      <c r="E3" s="26"/>
      <c r="F3" s="26"/>
      <c r="G3" s="26" t="s">
        <v>1263</v>
      </c>
      <c r="H3" s="26"/>
      <c r="I3" s="26"/>
      <c r="J3" s="26"/>
    </row>
    <row r="4" spans="1:10" ht="18" customHeight="1" x14ac:dyDescent="0.25">
      <c r="A4" s="27"/>
      <c r="B4" s="27"/>
      <c r="C4" s="27"/>
      <c r="D4" s="27"/>
      <c r="E4" s="27"/>
      <c r="F4" s="27"/>
      <c r="G4" s="27" t="s">
        <v>1263</v>
      </c>
      <c r="H4" s="27"/>
      <c r="I4" s="27"/>
      <c r="J4" s="27"/>
    </row>
    <row r="5" spans="1:10" ht="18" customHeight="1" x14ac:dyDescent="0.25">
      <c r="A5" s="26"/>
      <c r="B5" s="26"/>
      <c r="C5" s="26"/>
      <c r="D5" s="26"/>
      <c r="E5" s="26"/>
      <c r="F5" s="26"/>
      <c r="G5" s="26" t="s">
        <v>1263</v>
      </c>
      <c r="H5" s="26"/>
      <c r="I5" s="26"/>
      <c r="J5" s="26"/>
    </row>
    <row r="6" spans="1:10" ht="18" customHeight="1" x14ac:dyDescent="0.25">
      <c r="A6" s="27"/>
      <c r="B6" s="27"/>
      <c r="C6" s="27"/>
      <c r="D6" s="27"/>
      <c r="E6" s="27"/>
      <c r="F6" s="27"/>
      <c r="G6" s="27" t="s">
        <v>1263</v>
      </c>
      <c r="H6" s="27"/>
      <c r="I6" s="27"/>
      <c r="J6" s="27"/>
    </row>
    <row r="7" spans="1:10" ht="18" customHeight="1" x14ac:dyDescent="0.25">
      <c r="A7" s="26"/>
      <c r="B7" s="26"/>
      <c r="C7" s="26"/>
      <c r="D7" s="26"/>
      <c r="E7" s="26"/>
      <c r="F7" s="26"/>
      <c r="G7" s="26" t="s">
        <v>1263</v>
      </c>
      <c r="H7" s="26"/>
      <c r="I7" s="26"/>
      <c r="J7" s="26"/>
    </row>
    <row r="8" spans="1:10" ht="18" customHeight="1" x14ac:dyDescent="0.25">
      <c r="A8" s="27"/>
      <c r="B8" s="27"/>
      <c r="C8" s="27"/>
      <c r="D8" s="27"/>
      <c r="E8" s="27"/>
      <c r="F8" s="27"/>
      <c r="G8" s="27" t="s">
        <v>1263</v>
      </c>
      <c r="H8" s="27"/>
      <c r="I8" s="27"/>
      <c r="J8" s="27"/>
    </row>
    <row r="9" spans="1:10" ht="18" customHeight="1" x14ac:dyDescent="0.25">
      <c r="A9" s="26"/>
      <c r="B9" s="26"/>
      <c r="C9" s="26"/>
      <c r="D9" s="26"/>
      <c r="E9" s="26"/>
      <c r="F9" s="26"/>
      <c r="G9" s="26" t="s">
        <v>1263</v>
      </c>
      <c r="H9" s="26"/>
      <c r="I9" s="26"/>
      <c r="J9" s="26"/>
    </row>
    <row r="10" spans="1:10" ht="18" customHeight="1" x14ac:dyDescent="0.25">
      <c r="A10" s="27"/>
      <c r="B10" s="27"/>
      <c r="C10" s="27"/>
      <c r="D10" s="27"/>
      <c r="E10" s="27"/>
      <c r="F10" s="27"/>
      <c r="G10" s="27" t="s">
        <v>1263</v>
      </c>
      <c r="H10" s="27"/>
      <c r="I10" s="27"/>
      <c r="J10" s="27"/>
    </row>
    <row r="11" spans="1:10" ht="18" customHeight="1" x14ac:dyDescent="0.25">
      <c r="A11" s="26"/>
      <c r="B11" s="26"/>
      <c r="C11" s="26"/>
      <c r="D11" s="26"/>
      <c r="E11" s="26"/>
      <c r="F11" s="26"/>
      <c r="G11" s="26" t="s">
        <v>1263</v>
      </c>
      <c r="H11" s="26"/>
      <c r="I11" s="26"/>
      <c r="J11" s="26"/>
    </row>
    <row r="12" spans="1:10" ht="18" customHeight="1" x14ac:dyDescent="0.25">
      <c r="A12" s="27"/>
      <c r="B12" s="27"/>
      <c r="C12" s="27"/>
      <c r="D12" s="27"/>
      <c r="E12" s="27"/>
      <c r="F12" s="27"/>
      <c r="G12" s="27" t="s">
        <v>1263</v>
      </c>
      <c r="H12" s="27"/>
      <c r="I12" s="27"/>
      <c r="J12" s="27"/>
    </row>
    <row r="13" spans="1:10" ht="18" customHeight="1" x14ac:dyDescent="0.25">
      <c r="A13" s="26"/>
      <c r="B13" s="26"/>
      <c r="C13" s="26"/>
      <c r="D13" s="26"/>
      <c r="E13" s="26"/>
      <c r="F13" s="26"/>
      <c r="G13" s="26" t="s">
        <v>1263</v>
      </c>
      <c r="H13" s="26"/>
      <c r="I13" s="26"/>
      <c r="J13" s="26"/>
    </row>
    <row r="14" spans="1:10" ht="18" customHeight="1" x14ac:dyDescent="0.25">
      <c r="A14" s="27"/>
      <c r="B14" s="27"/>
      <c r="C14" s="27"/>
      <c r="D14" s="27"/>
      <c r="E14" s="27"/>
      <c r="F14" s="27"/>
      <c r="G14" s="27" t="s">
        <v>1263</v>
      </c>
      <c r="H14" s="27"/>
      <c r="I14" s="27"/>
      <c r="J14" s="27"/>
    </row>
    <row r="15" spans="1:10" ht="18" customHeight="1" x14ac:dyDescent="0.25">
      <c r="A15" s="26"/>
      <c r="B15" s="26"/>
      <c r="C15" s="26"/>
      <c r="D15" s="26"/>
      <c r="E15" s="26"/>
      <c r="F15" s="26"/>
      <c r="G15" s="26" t="s">
        <v>1263</v>
      </c>
      <c r="H15" s="26"/>
      <c r="I15" s="26"/>
      <c r="J15" s="26"/>
    </row>
    <row r="16" spans="1:10" ht="18" customHeight="1" x14ac:dyDescent="0.25">
      <c r="A16" s="27"/>
      <c r="B16" s="27"/>
      <c r="C16" s="27"/>
      <c r="D16" s="27"/>
      <c r="E16" s="27"/>
      <c r="F16" s="27"/>
      <c r="G16" s="27" t="s">
        <v>1263</v>
      </c>
      <c r="H16" s="27"/>
      <c r="I16" s="27"/>
      <c r="J16" s="27"/>
    </row>
    <row r="17" spans="1:10" ht="18" customHeight="1" x14ac:dyDescent="0.25">
      <c r="A17" s="26"/>
      <c r="B17" s="26"/>
      <c r="C17" s="26"/>
      <c r="D17" s="26"/>
      <c r="E17" s="26"/>
      <c r="F17" s="26"/>
      <c r="G17" s="26" t="s">
        <v>1263</v>
      </c>
      <c r="H17" s="26"/>
      <c r="I17" s="26"/>
      <c r="J17" s="26"/>
    </row>
    <row r="18" spans="1:10" ht="18" customHeight="1" x14ac:dyDescent="0.25">
      <c r="A18" s="27"/>
      <c r="B18" s="27"/>
      <c r="C18" s="27"/>
      <c r="D18" s="27"/>
      <c r="E18" s="27"/>
      <c r="F18" s="27"/>
      <c r="G18" s="27" t="s">
        <v>1263</v>
      </c>
      <c r="H18" s="27"/>
      <c r="I18" s="27"/>
      <c r="J18" s="27"/>
    </row>
    <row r="19" spans="1:10" ht="18" customHeight="1" x14ac:dyDescent="0.25">
      <c r="A19" s="26"/>
      <c r="B19" s="26"/>
      <c r="C19" s="26"/>
      <c r="D19" s="26"/>
      <c r="E19" s="26"/>
      <c r="F19" s="26"/>
      <c r="G19" s="26" t="s">
        <v>1263</v>
      </c>
      <c r="H19" s="26"/>
      <c r="I19" s="26"/>
      <c r="J19" s="26"/>
    </row>
    <row r="20" spans="1:10" ht="18" customHeight="1" x14ac:dyDescent="0.25">
      <c r="A20" s="27"/>
      <c r="B20" s="27"/>
      <c r="C20" s="27"/>
      <c r="D20" s="27"/>
      <c r="E20" s="27"/>
      <c r="F20" s="27"/>
      <c r="G20" s="27" t="s">
        <v>1263</v>
      </c>
      <c r="H20" s="27"/>
      <c r="I20" s="27"/>
      <c r="J20" s="27"/>
    </row>
    <row r="21" spans="1:10" ht="18" customHeight="1" x14ac:dyDescent="0.25">
      <c r="A21" s="26"/>
      <c r="B21" s="26"/>
      <c r="C21" s="26"/>
      <c r="D21" s="26"/>
      <c r="E21" s="26"/>
      <c r="F21" s="26"/>
      <c r="G21" s="26" t="s">
        <v>1263</v>
      </c>
      <c r="H21" s="26"/>
      <c r="I21" s="26"/>
      <c r="J21" s="26"/>
    </row>
    <row r="22" spans="1:10" ht="18" customHeight="1" x14ac:dyDescent="0.25">
      <c r="A22" s="27"/>
      <c r="B22" s="27"/>
      <c r="C22" s="27"/>
      <c r="D22" s="27"/>
      <c r="E22" s="27"/>
      <c r="F22" s="27"/>
      <c r="G22" s="27" t="s">
        <v>1263</v>
      </c>
      <c r="H22" s="27"/>
      <c r="I22" s="27"/>
      <c r="J22" s="27"/>
    </row>
    <row r="23" spans="1:10" ht="18" customHeight="1" x14ac:dyDescent="0.25">
      <c r="A23" s="26"/>
      <c r="B23" s="26"/>
      <c r="C23" s="26"/>
      <c r="D23" s="26"/>
      <c r="E23" s="26"/>
      <c r="F23" s="26"/>
      <c r="G23" s="26" t="s">
        <v>1263</v>
      </c>
      <c r="H23" s="26"/>
      <c r="I23" s="26"/>
      <c r="J23" s="26"/>
    </row>
    <row r="24" spans="1:10" ht="18" customHeight="1" x14ac:dyDescent="0.25">
      <c r="A24" s="27"/>
      <c r="B24" s="27"/>
      <c r="C24" s="27"/>
      <c r="D24" s="27"/>
      <c r="E24" s="27"/>
      <c r="F24" s="27"/>
      <c r="G24" s="27" t="s">
        <v>1263</v>
      </c>
      <c r="H24" s="27"/>
      <c r="I24" s="27"/>
      <c r="J24" s="27"/>
    </row>
    <row r="25" spans="1:10" ht="18" customHeight="1" x14ac:dyDescent="0.25">
      <c r="A25" s="26"/>
      <c r="B25" s="26"/>
      <c r="C25" s="26"/>
      <c r="D25" s="26"/>
      <c r="E25" s="26"/>
      <c r="F25" s="26"/>
      <c r="G25" s="26" t="s">
        <v>1263</v>
      </c>
      <c r="H25" s="26"/>
      <c r="I25" s="26"/>
      <c r="J25" s="26"/>
    </row>
    <row r="26" spans="1:10" ht="18" customHeight="1" x14ac:dyDescent="0.25">
      <c r="A26" s="27"/>
      <c r="B26" s="27"/>
      <c r="C26" s="27"/>
      <c r="D26" s="27"/>
      <c r="E26" s="27"/>
      <c r="F26" s="27"/>
      <c r="G26" s="27" t="s">
        <v>1263</v>
      </c>
      <c r="H26" s="27"/>
      <c r="I26" s="27"/>
      <c r="J26" s="27"/>
    </row>
    <row r="27" spans="1:10" ht="18" customHeight="1" x14ac:dyDescent="0.25">
      <c r="A27" s="26"/>
      <c r="B27" s="26"/>
      <c r="C27" s="26"/>
      <c r="D27" s="26"/>
      <c r="E27" s="26"/>
      <c r="F27" s="26"/>
      <c r="G27" s="26" t="s">
        <v>1263</v>
      </c>
      <c r="H27" s="26"/>
      <c r="I27" s="26"/>
      <c r="J27" s="26"/>
    </row>
    <row r="28" spans="1:10" ht="18" customHeight="1" x14ac:dyDescent="0.25">
      <c r="A28" s="27"/>
      <c r="B28" s="27"/>
      <c r="C28" s="27"/>
      <c r="D28" s="27"/>
      <c r="E28" s="27"/>
      <c r="F28" s="27"/>
      <c r="G28" s="27" t="s">
        <v>1263</v>
      </c>
      <c r="H28" s="27"/>
      <c r="I28" s="27"/>
      <c r="J28" s="27"/>
    </row>
    <row r="29" spans="1:10" ht="18" customHeight="1" x14ac:dyDescent="0.25">
      <c r="A29" s="26"/>
      <c r="B29" s="26"/>
      <c r="C29" s="26"/>
      <c r="D29" s="26"/>
      <c r="E29" s="26"/>
      <c r="F29" s="26"/>
      <c r="G29" s="26" t="s">
        <v>1263</v>
      </c>
      <c r="H29" s="26"/>
      <c r="I29" s="26"/>
      <c r="J29" s="26"/>
    </row>
    <row r="30" spans="1:10" ht="18" customHeight="1" x14ac:dyDescent="0.25">
      <c r="A30" s="27"/>
      <c r="B30" s="27"/>
      <c r="C30" s="27"/>
      <c r="D30" s="27"/>
      <c r="E30" s="27"/>
      <c r="F30" s="27"/>
      <c r="G30" s="27" t="s">
        <v>1263</v>
      </c>
      <c r="H30" s="27"/>
      <c r="I30" s="27"/>
      <c r="J30" s="27"/>
    </row>
    <row r="31" spans="1:10" ht="18" customHeight="1" x14ac:dyDescent="0.25">
      <c r="A31" s="26"/>
      <c r="B31" s="26"/>
      <c r="C31" s="26"/>
      <c r="D31" s="26"/>
      <c r="E31" s="26"/>
      <c r="F31" s="26"/>
      <c r="G31" s="26" t="s">
        <v>1263</v>
      </c>
      <c r="H31" s="26"/>
      <c r="I31" s="26"/>
      <c r="J31" s="26"/>
    </row>
    <row r="32" spans="1:10" ht="18" customHeight="1" x14ac:dyDescent="0.25">
      <c r="A32" s="27"/>
      <c r="B32" s="27"/>
      <c r="C32" s="27"/>
      <c r="D32" s="27"/>
      <c r="E32" s="27"/>
      <c r="F32" s="27"/>
      <c r="G32" s="27" t="s">
        <v>1263</v>
      </c>
      <c r="H32" s="27"/>
      <c r="I32" s="27"/>
      <c r="J32" s="27"/>
    </row>
    <row r="33" spans="1:10" ht="18" customHeight="1" x14ac:dyDescent="0.25">
      <c r="A33" s="26"/>
      <c r="B33" s="26"/>
      <c r="C33" s="26"/>
      <c r="D33" s="26"/>
      <c r="E33" s="26"/>
      <c r="F33" s="26"/>
      <c r="G33" s="26" t="s">
        <v>1263</v>
      </c>
      <c r="H33" s="26"/>
      <c r="I33" s="26"/>
      <c r="J33" s="26"/>
    </row>
    <row r="34" spans="1:10" ht="18" customHeight="1" x14ac:dyDescent="0.25">
      <c r="A34" s="27"/>
      <c r="B34" s="27"/>
      <c r="C34" s="27"/>
      <c r="D34" s="27"/>
      <c r="E34" s="27"/>
      <c r="F34" s="27"/>
      <c r="G34" s="27" t="s">
        <v>1263</v>
      </c>
      <c r="H34" s="27"/>
      <c r="I34" s="27"/>
      <c r="J34" s="27"/>
    </row>
    <row r="35" spans="1:10" ht="18" customHeight="1" x14ac:dyDescent="0.25">
      <c r="A35" s="26"/>
      <c r="B35" s="26"/>
      <c r="C35" s="26"/>
      <c r="D35" s="26"/>
      <c r="E35" s="26"/>
      <c r="F35" s="26"/>
      <c r="G35" s="26" t="s">
        <v>1263</v>
      </c>
      <c r="H35" s="26"/>
      <c r="I35" s="26"/>
      <c r="J35" s="26"/>
    </row>
    <row r="36" spans="1:10" ht="18" customHeight="1" x14ac:dyDescent="0.25">
      <c r="A36" s="27"/>
      <c r="B36" s="27"/>
      <c r="C36" s="27"/>
      <c r="D36" s="27"/>
      <c r="E36" s="27"/>
      <c r="F36" s="27"/>
      <c r="G36" s="27" t="s">
        <v>1263</v>
      </c>
      <c r="H36" s="27"/>
      <c r="I36" s="27"/>
      <c r="J36" s="27"/>
    </row>
    <row r="37" spans="1:10" ht="18" customHeight="1" x14ac:dyDescent="0.25">
      <c r="A37" s="26"/>
      <c r="B37" s="26"/>
      <c r="C37" s="26"/>
      <c r="D37" s="26"/>
      <c r="E37" s="26"/>
      <c r="F37" s="26"/>
      <c r="G37" s="26" t="s">
        <v>1263</v>
      </c>
      <c r="H37" s="26"/>
      <c r="I37" s="26"/>
      <c r="J37" s="26"/>
    </row>
    <row r="38" spans="1:10" ht="18" customHeight="1" x14ac:dyDescent="0.25">
      <c r="A38" s="27"/>
      <c r="B38" s="27"/>
      <c r="C38" s="27"/>
      <c r="D38" s="27"/>
      <c r="E38" s="27"/>
      <c r="F38" s="27"/>
      <c r="G38" s="27" t="s">
        <v>1263</v>
      </c>
      <c r="H38" s="27"/>
      <c r="I38" s="27"/>
      <c r="J38" s="27"/>
    </row>
    <row r="39" spans="1:10" ht="18" customHeight="1" x14ac:dyDescent="0.25">
      <c r="A39" s="26"/>
      <c r="B39" s="26"/>
      <c r="C39" s="26"/>
      <c r="D39" s="26"/>
      <c r="E39" s="26"/>
      <c r="F39" s="26"/>
      <c r="G39" s="26" t="s">
        <v>1263</v>
      </c>
      <c r="H39" s="26"/>
      <c r="I39" s="26"/>
      <c r="J39" s="26"/>
    </row>
    <row r="40" spans="1:10" ht="18" customHeight="1" x14ac:dyDescent="0.25">
      <c r="A40" s="27"/>
      <c r="B40" s="27"/>
      <c r="C40" s="27"/>
      <c r="D40" s="27"/>
      <c r="E40" s="27"/>
      <c r="F40" s="27"/>
      <c r="G40" s="27" t="s">
        <v>1263</v>
      </c>
      <c r="H40" s="27"/>
      <c r="I40" s="27"/>
      <c r="J40" s="27"/>
    </row>
    <row r="41" spans="1:10" ht="18" customHeight="1" x14ac:dyDescent="0.25">
      <c r="A41" s="26"/>
      <c r="B41" s="26"/>
      <c r="C41" s="26"/>
      <c r="D41" s="26"/>
      <c r="E41" s="26"/>
      <c r="F41" s="26"/>
      <c r="G41" s="26" t="s">
        <v>1263</v>
      </c>
      <c r="H41" s="26"/>
      <c r="I41" s="26"/>
      <c r="J41" s="26"/>
    </row>
    <row r="42" spans="1:10" ht="18" customHeight="1" x14ac:dyDescent="0.25">
      <c r="A42" s="27"/>
      <c r="B42" s="27"/>
      <c r="C42" s="27"/>
      <c r="D42" s="27"/>
      <c r="E42" s="27"/>
      <c r="F42" s="27"/>
      <c r="G42" s="27" t="s">
        <v>1263</v>
      </c>
      <c r="H42" s="27"/>
      <c r="I42" s="27"/>
      <c r="J42" s="27"/>
    </row>
    <row r="43" spans="1:10" ht="18" customHeight="1" x14ac:dyDescent="0.25">
      <c r="A43" s="26"/>
      <c r="B43" s="26"/>
      <c r="C43" s="26"/>
      <c r="D43" s="26"/>
      <c r="E43" s="26"/>
      <c r="F43" s="26"/>
      <c r="G43" s="26" t="s">
        <v>1263</v>
      </c>
      <c r="H43" s="26"/>
      <c r="I43" s="26"/>
      <c r="J43" s="26"/>
    </row>
    <row r="44" spans="1:10" ht="18" customHeight="1" x14ac:dyDescent="0.25">
      <c r="A44" s="27"/>
      <c r="B44" s="27"/>
      <c r="C44" s="27"/>
      <c r="D44" s="27"/>
      <c r="E44" s="27"/>
      <c r="F44" s="27"/>
      <c r="G44" s="27" t="s">
        <v>1263</v>
      </c>
      <c r="H44" s="27"/>
      <c r="I44" s="27"/>
      <c r="J44" s="27"/>
    </row>
    <row r="45" spans="1:10" ht="18" customHeight="1" x14ac:dyDescent="0.25">
      <c r="A45" s="26"/>
      <c r="B45" s="26"/>
      <c r="C45" s="26"/>
      <c r="D45" s="26"/>
      <c r="E45" s="26"/>
      <c r="F45" s="26"/>
      <c r="G45" s="26" t="s">
        <v>1263</v>
      </c>
      <c r="H45" s="26"/>
      <c r="I45" s="26"/>
      <c r="J45" s="26"/>
    </row>
    <row r="46" spans="1:10" ht="18" customHeight="1" x14ac:dyDescent="0.25">
      <c r="A46" s="27"/>
      <c r="B46" s="27"/>
      <c r="C46" s="27"/>
      <c r="D46" s="27"/>
      <c r="E46" s="27"/>
      <c r="F46" s="27"/>
      <c r="G46" s="27" t="s">
        <v>1263</v>
      </c>
      <c r="H46" s="27"/>
      <c r="I46" s="27"/>
      <c r="J46" s="27"/>
    </row>
    <row r="47" spans="1:10" ht="18" customHeight="1" x14ac:dyDescent="0.25">
      <c r="A47" s="26"/>
      <c r="B47" s="26"/>
      <c r="C47" s="26"/>
      <c r="D47" s="26"/>
      <c r="E47" s="26"/>
      <c r="F47" s="26"/>
      <c r="G47" s="26" t="s">
        <v>1263</v>
      </c>
      <c r="H47" s="26"/>
      <c r="I47" s="26"/>
      <c r="J47" s="26"/>
    </row>
    <row r="48" spans="1:10" ht="18" customHeight="1" x14ac:dyDescent="0.25">
      <c r="A48" s="27"/>
      <c r="B48" s="27"/>
      <c r="C48" s="27"/>
      <c r="D48" s="27"/>
      <c r="E48" s="27"/>
      <c r="F48" s="27"/>
      <c r="G48" s="27" t="s">
        <v>1263</v>
      </c>
      <c r="H48" s="27"/>
      <c r="I48" s="27"/>
      <c r="J48" s="27"/>
    </row>
    <row r="49" spans="1:10" ht="18" customHeight="1" x14ac:dyDescent="0.25">
      <c r="A49" s="26"/>
      <c r="B49" s="26"/>
      <c r="C49" s="26"/>
      <c r="D49" s="26"/>
      <c r="E49" s="26"/>
      <c r="F49" s="26"/>
      <c r="G49" s="26" t="s">
        <v>1263</v>
      </c>
      <c r="H49" s="26"/>
      <c r="I49" s="26"/>
      <c r="J49" s="26"/>
    </row>
    <row r="50" spans="1:10" ht="18" customHeight="1" x14ac:dyDescent="0.25">
      <c r="A50" s="27"/>
      <c r="B50" s="27"/>
      <c r="C50" s="27"/>
      <c r="D50" s="27"/>
      <c r="E50" s="27"/>
      <c r="F50" s="27"/>
      <c r="G50" s="27" t="s">
        <v>1263</v>
      </c>
      <c r="H50" s="27"/>
      <c r="I50" s="27"/>
      <c r="J50" s="27"/>
    </row>
    <row r="51" spans="1:10" ht="18" customHeight="1" x14ac:dyDescent="0.25">
      <c r="A51" s="26"/>
      <c r="B51" s="26"/>
      <c r="C51" s="26"/>
      <c r="D51" s="26"/>
      <c r="E51" s="26"/>
      <c r="F51" s="26"/>
      <c r="G51" s="26" t="s">
        <v>1263</v>
      </c>
      <c r="H51" s="26"/>
      <c r="I51" s="26"/>
      <c r="J51" s="26"/>
    </row>
    <row r="52" spans="1:10" ht="18" customHeight="1" x14ac:dyDescent="0.25">
      <c r="A52" s="27"/>
      <c r="B52" s="27"/>
      <c r="C52" s="27"/>
      <c r="D52" s="27"/>
      <c r="E52" s="27"/>
      <c r="F52" s="27"/>
      <c r="G52" s="27" t="s">
        <v>1263</v>
      </c>
      <c r="H52" s="27"/>
      <c r="I52" s="27"/>
      <c r="J52" s="27"/>
    </row>
    <row r="53" spans="1:10" ht="18" customHeight="1" x14ac:dyDescent="0.25">
      <c r="A53" s="26"/>
      <c r="B53" s="26"/>
      <c r="C53" s="26"/>
      <c r="D53" s="26"/>
      <c r="E53" s="26"/>
      <c r="F53" s="26"/>
      <c r="G53" s="26" t="s">
        <v>1263</v>
      </c>
      <c r="H53" s="26"/>
      <c r="I53" s="26"/>
      <c r="J53" s="26"/>
    </row>
    <row r="54" spans="1:10" ht="18" customHeight="1" x14ac:dyDescent="0.25">
      <c r="A54" s="27"/>
      <c r="B54" s="27"/>
      <c r="C54" s="27"/>
      <c r="D54" s="27"/>
      <c r="E54" s="27"/>
      <c r="F54" s="27"/>
      <c r="G54" s="27" t="s">
        <v>1263</v>
      </c>
      <c r="H54" s="27"/>
      <c r="I54" s="27"/>
      <c r="J54" s="27"/>
    </row>
    <row r="55" spans="1:10" ht="18" customHeight="1" x14ac:dyDescent="0.25">
      <c r="A55" s="26"/>
      <c r="B55" s="26"/>
      <c r="C55" s="26"/>
      <c r="D55" s="26"/>
      <c r="E55" s="26"/>
      <c r="F55" s="26"/>
      <c r="G55" s="26" t="s">
        <v>1263</v>
      </c>
      <c r="H55" s="26"/>
      <c r="I55" s="26"/>
      <c r="J55" s="26"/>
    </row>
    <row r="56" spans="1:10" ht="18" customHeight="1" x14ac:dyDescent="0.25">
      <c r="A56" s="27"/>
      <c r="B56" s="27"/>
      <c r="C56" s="27"/>
      <c r="D56" s="27"/>
      <c r="E56" s="27"/>
      <c r="F56" s="27"/>
      <c r="G56" s="27" t="s">
        <v>1263</v>
      </c>
      <c r="H56" s="27"/>
      <c r="I56" s="27"/>
      <c r="J56" s="27"/>
    </row>
    <row r="57" spans="1:10" ht="18" customHeight="1" x14ac:dyDescent="0.25">
      <c r="A57" s="26"/>
      <c r="B57" s="26"/>
      <c r="C57" s="26"/>
      <c r="D57" s="26"/>
      <c r="E57" s="26"/>
      <c r="F57" s="26"/>
      <c r="G57" s="26" t="s">
        <v>1263</v>
      </c>
      <c r="H57" s="26"/>
      <c r="I57" s="26"/>
      <c r="J57" s="26"/>
    </row>
    <row r="58" spans="1:10" ht="18" customHeight="1" x14ac:dyDescent="0.25">
      <c r="A58" s="27"/>
      <c r="B58" s="27"/>
      <c r="C58" s="27"/>
      <c r="D58" s="27"/>
      <c r="E58" s="27"/>
      <c r="F58" s="27"/>
      <c r="G58" s="27" t="s">
        <v>1263</v>
      </c>
      <c r="H58" s="27"/>
      <c r="I58" s="27"/>
      <c r="J58" s="27"/>
    </row>
    <row r="59" spans="1:10" ht="18" customHeight="1" x14ac:dyDescent="0.25">
      <c r="A59" s="26"/>
      <c r="B59" s="26"/>
      <c r="C59" s="26"/>
      <c r="D59" s="26"/>
      <c r="E59" s="26"/>
      <c r="F59" s="26"/>
      <c r="G59" s="26" t="s">
        <v>1263</v>
      </c>
      <c r="H59" s="26"/>
      <c r="I59" s="26"/>
      <c r="J59" s="26"/>
    </row>
    <row r="60" spans="1:10" ht="18" customHeight="1" x14ac:dyDescent="0.25">
      <c r="A60" s="27"/>
      <c r="B60" s="27"/>
      <c r="C60" s="27"/>
      <c r="D60" s="27"/>
      <c r="E60" s="27"/>
      <c r="F60" s="27"/>
      <c r="G60" s="27" t="s">
        <v>1263</v>
      </c>
      <c r="H60" s="27"/>
      <c r="I60" s="27"/>
      <c r="J60" s="27"/>
    </row>
    <row r="61" spans="1:10" ht="18" customHeight="1" x14ac:dyDescent="0.25">
      <c r="A61" s="26"/>
      <c r="B61" s="26"/>
      <c r="C61" s="26"/>
      <c r="D61" s="26"/>
      <c r="E61" s="26"/>
      <c r="F61" s="26"/>
      <c r="G61" s="26" t="s">
        <v>1263</v>
      </c>
      <c r="H61" s="26"/>
      <c r="I61" s="26"/>
      <c r="J61" s="26"/>
    </row>
    <row r="62" spans="1:10" ht="18" customHeight="1" x14ac:dyDescent="0.25">
      <c r="A62" s="27"/>
      <c r="B62" s="27"/>
      <c r="C62" s="27"/>
      <c r="D62" s="27"/>
      <c r="E62" s="27"/>
      <c r="F62" s="27"/>
      <c r="G62" s="27" t="s">
        <v>1263</v>
      </c>
      <c r="H62" s="27"/>
      <c r="I62" s="27"/>
      <c r="J62" s="27"/>
    </row>
    <row r="63" spans="1:10" ht="18" customHeight="1" x14ac:dyDescent="0.25">
      <c r="A63" s="26"/>
      <c r="B63" s="26"/>
      <c r="C63" s="26"/>
      <c r="D63" s="26"/>
      <c r="E63" s="26"/>
      <c r="F63" s="26"/>
      <c r="G63" s="26" t="s">
        <v>1263</v>
      </c>
      <c r="H63" s="26"/>
      <c r="I63" s="26"/>
      <c r="J63" s="26"/>
    </row>
    <row r="64" spans="1:10" ht="18" customHeight="1" x14ac:dyDescent="0.25">
      <c r="A64" s="27"/>
      <c r="B64" s="27"/>
      <c r="C64" s="27"/>
      <c r="D64" s="27"/>
      <c r="E64" s="27"/>
      <c r="F64" s="27"/>
      <c r="G64" s="27" t="s">
        <v>1263</v>
      </c>
      <c r="H64" s="27"/>
      <c r="I64" s="27"/>
      <c r="J64" s="27"/>
    </row>
    <row r="65" spans="1:10" ht="18" customHeight="1" x14ac:dyDescent="0.25">
      <c r="A65" s="26"/>
      <c r="B65" s="26"/>
      <c r="C65" s="26"/>
      <c r="D65" s="26"/>
      <c r="E65" s="26"/>
      <c r="F65" s="26"/>
      <c r="G65" s="26" t="s">
        <v>1263</v>
      </c>
      <c r="H65" s="26"/>
      <c r="I65" s="26"/>
      <c r="J65" s="26"/>
    </row>
    <row r="66" spans="1:10" ht="18" customHeight="1" x14ac:dyDescent="0.25">
      <c r="A66" s="27"/>
      <c r="B66" s="27"/>
      <c r="C66" s="27"/>
      <c r="D66" s="27"/>
      <c r="E66" s="27"/>
      <c r="F66" s="27"/>
      <c r="G66" s="27" t="s">
        <v>1263</v>
      </c>
      <c r="H66" s="27"/>
      <c r="I66" s="27"/>
      <c r="J66" s="27"/>
    </row>
    <row r="67" spans="1:10" ht="18" customHeight="1" x14ac:dyDescent="0.25">
      <c r="A67" s="26"/>
      <c r="B67" s="26"/>
      <c r="C67" s="26"/>
      <c r="D67" s="26"/>
      <c r="E67" s="26"/>
      <c r="F67" s="26"/>
      <c r="G67" s="26" t="s">
        <v>1263</v>
      </c>
      <c r="H67" s="26"/>
      <c r="I67" s="26"/>
      <c r="J67" s="26"/>
    </row>
    <row r="68" spans="1:10" ht="18" customHeight="1" x14ac:dyDescent="0.25">
      <c r="A68" s="27"/>
      <c r="B68" s="27"/>
      <c r="C68" s="27"/>
      <c r="D68" s="27"/>
      <c r="E68" s="27"/>
      <c r="F68" s="27"/>
      <c r="G68" s="27" t="s">
        <v>1263</v>
      </c>
      <c r="H68" s="27"/>
      <c r="I68" s="27"/>
      <c r="J68" s="27"/>
    </row>
    <row r="69" spans="1:10" ht="18" customHeight="1" x14ac:dyDescent="0.25">
      <c r="A69" s="26"/>
      <c r="B69" s="26"/>
      <c r="C69" s="26"/>
      <c r="D69" s="26"/>
      <c r="E69" s="26"/>
      <c r="F69" s="26"/>
      <c r="G69" s="26" t="s">
        <v>1263</v>
      </c>
      <c r="H69" s="26"/>
      <c r="I69" s="26"/>
      <c r="J69" s="26"/>
    </row>
    <row r="70" spans="1:10" ht="18" customHeight="1" x14ac:dyDescent="0.25">
      <c r="A70" s="27"/>
      <c r="B70" s="27"/>
      <c r="C70" s="27"/>
      <c r="D70" s="27"/>
      <c r="E70" s="27"/>
      <c r="F70" s="27"/>
      <c r="G70" s="27" t="s">
        <v>1263</v>
      </c>
      <c r="H70" s="27"/>
      <c r="I70" s="27"/>
      <c r="J70" s="27"/>
    </row>
    <row r="71" spans="1:10" ht="18" customHeight="1" x14ac:dyDescent="0.25">
      <c r="A71" s="26"/>
      <c r="B71" s="26"/>
      <c r="C71" s="26"/>
      <c r="D71" s="26"/>
      <c r="E71" s="26"/>
      <c r="F71" s="26"/>
      <c r="G71" s="26" t="s">
        <v>1263</v>
      </c>
      <c r="H71" s="26"/>
      <c r="I71" s="26"/>
      <c r="J71" s="26"/>
    </row>
    <row r="72" spans="1:10" ht="18" customHeight="1" x14ac:dyDescent="0.25">
      <c r="A72" s="27"/>
      <c r="B72" s="27"/>
      <c r="C72" s="27"/>
      <c r="D72" s="27"/>
      <c r="E72" s="27"/>
      <c r="F72" s="27"/>
      <c r="G72" s="27" t="s">
        <v>1263</v>
      </c>
      <c r="H72" s="27"/>
      <c r="I72" s="27"/>
      <c r="J72" s="27"/>
    </row>
    <row r="73" spans="1:10" ht="18" customHeight="1" x14ac:dyDescent="0.25">
      <c r="A73" s="26"/>
      <c r="B73" s="26"/>
      <c r="C73" s="26"/>
      <c r="D73" s="26"/>
      <c r="E73" s="26"/>
      <c r="F73" s="26"/>
      <c r="G73" s="26" t="s">
        <v>1263</v>
      </c>
      <c r="H73" s="26"/>
      <c r="I73" s="26"/>
      <c r="J73" s="26"/>
    </row>
    <row r="74" spans="1:10" ht="18" customHeight="1" x14ac:dyDescent="0.25">
      <c r="A74" s="27"/>
      <c r="B74" s="27"/>
      <c r="C74" s="27"/>
      <c r="D74" s="27"/>
      <c r="E74" s="27"/>
      <c r="F74" s="27"/>
      <c r="G74" s="27" t="s">
        <v>1263</v>
      </c>
      <c r="H74" s="27"/>
      <c r="I74" s="27"/>
      <c r="J74" s="27"/>
    </row>
    <row r="75" spans="1:10" ht="18" customHeight="1" x14ac:dyDescent="0.25">
      <c r="A75" s="26"/>
      <c r="B75" s="26"/>
      <c r="C75" s="26"/>
      <c r="D75" s="26"/>
      <c r="E75" s="26"/>
      <c r="F75" s="26"/>
      <c r="G75" s="26" t="s">
        <v>1263</v>
      </c>
      <c r="H75" s="26"/>
      <c r="I75" s="26"/>
      <c r="J75" s="26"/>
    </row>
    <row r="76" spans="1:10" ht="18" customHeight="1" x14ac:dyDescent="0.25">
      <c r="A76" s="27"/>
      <c r="B76" s="27"/>
      <c r="C76" s="27"/>
      <c r="D76" s="27"/>
      <c r="E76" s="27"/>
      <c r="F76" s="27"/>
      <c r="G76" s="27" t="s">
        <v>1263</v>
      </c>
      <c r="H76" s="27"/>
      <c r="I76" s="27"/>
      <c r="J76" s="27"/>
    </row>
    <row r="77" spans="1:10" ht="18" customHeight="1" x14ac:dyDescent="0.25">
      <c r="A77" s="26"/>
      <c r="B77" s="26"/>
      <c r="C77" s="26"/>
      <c r="D77" s="26"/>
      <c r="E77" s="26"/>
      <c r="F77" s="26"/>
      <c r="G77" s="26" t="s">
        <v>1263</v>
      </c>
      <c r="H77" s="26"/>
      <c r="I77" s="26"/>
      <c r="J77" s="26"/>
    </row>
    <row r="78" spans="1:10" ht="18" customHeight="1" x14ac:dyDescent="0.25">
      <c r="A78" s="27"/>
      <c r="B78" s="27"/>
      <c r="C78" s="27"/>
      <c r="D78" s="27"/>
      <c r="E78" s="27"/>
      <c r="F78" s="27"/>
      <c r="G78" s="27" t="s">
        <v>1263</v>
      </c>
      <c r="H78" s="27"/>
      <c r="I78" s="27"/>
      <c r="J78" s="27"/>
    </row>
    <row r="79" spans="1:10" ht="18" customHeight="1" x14ac:dyDescent="0.25">
      <c r="A79" s="26"/>
      <c r="B79" s="26"/>
      <c r="C79" s="26"/>
      <c r="D79" s="26"/>
      <c r="E79" s="26"/>
      <c r="F79" s="26"/>
      <c r="G79" s="26" t="s">
        <v>1263</v>
      </c>
      <c r="H79" s="26"/>
      <c r="I79" s="26"/>
      <c r="J79" s="26"/>
    </row>
    <row r="80" spans="1:10" ht="18" customHeight="1" x14ac:dyDescent="0.25">
      <c r="A80" s="27"/>
      <c r="B80" s="27"/>
      <c r="C80" s="27"/>
      <c r="D80" s="27"/>
      <c r="E80" s="27"/>
      <c r="F80" s="27"/>
      <c r="G80" s="27" t="s">
        <v>1263</v>
      </c>
      <c r="H80" s="27"/>
      <c r="I80" s="27"/>
      <c r="J80" s="27"/>
    </row>
    <row r="81" spans="1:10" ht="18" customHeight="1" x14ac:dyDescent="0.25">
      <c r="A81" s="26"/>
      <c r="B81" s="26"/>
      <c r="C81" s="26"/>
      <c r="D81" s="26"/>
      <c r="E81" s="26"/>
      <c r="F81" s="26"/>
      <c r="G81" s="26" t="s">
        <v>1263</v>
      </c>
      <c r="H81" s="26"/>
      <c r="I81" s="26"/>
      <c r="J81" s="26"/>
    </row>
    <row r="82" spans="1:10" ht="18" customHeight="1" x14ac:dyDescent="0.25">
      <c r="A82" s="27"/>
      <c r="B82" s="27"/>
      <c r="C82" s="27"/>
      <c r="D82" s="27"/>
      <c r="E82" s="27"/>
      <c r="F82" s="27"/>
      <c r="G82" s="27" t="s">
        <v>1263</v>
      </c>
      <c r="H82" s="27"/>
      <c r="I82" s="27"/>
      <c r="J82" s="27"/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5A623"/>
  </sheetPr>
  <dimension ref="A1:D27"/>
  <sheetViews>
    <sheetView topLeftCell="A13" workbookViewId="0">
      <selection activeCell="F6" sqref="F6"/>
    </sheetView>
  </sheetViews>
  <sheetFormatPr defaultRowHeight="15" x14ac:dyDescent="0.25"/>
  <cols>
    <col min="1" max="1" width="32" style="37" customWidth="1"/>
    <col min="2" max="2" width="22" style="37" customWidth="1"/>
    <col min="3" max="3" width="60" style="37" customWidth="1"/>
    <col min="4" max="4" width="20" style="37" customWidth="1"/>
  </cols>
  <sheetData>
    <row r="1" spans="1:4" ht="36" customHeight="1" x14ac:dyDescent="0.25">
      <c r="A1" s="61" t="s">
        <v>1264</v>
      </c>
      <c r="B1" s="52"/>
      <c r="C1" s="52"/>
      <c r="D1" s="52"/>
    </row>
    <row r="2" spans="1:4" ht="25.5" customHeight="1" x14ac:dyDescent="0.25">
      <c r="A2" s="32" t="s">
        <v>1265</v>
      </c>
      <c r="B2" s="32"/>
      <c r="C2" s="32"/>
      <c r="D2" s="32"/>
    </row>
    <row r="3" spans="1:4" x14ac:dyDescent="0.25">
      <c r="A3" s="33" t="s">
        <v>1266</v>
      </c>
      <c r="B3" s="33" t="s">
        <v>1267</v>
      </c>
      <c r="C3" s="33" t="s">
        <v>1268</v>
      </c>
      <c r="D3" s="33" t="s">
        <v>465</v>
      </c>
    </row>
    <row r="4" spans="1:4" ht="38.25" customHeight="1" x14ac:dyDescent="0.25">
      <c r="A4" s="34" t="s">
        <v>1269</v>
      </c>
      <c r="B4" s="34" t="s">
        <v>1270</v>
      </c>
      <c r="C4" s="34" t="s">
        <v>1271</v>
      </c>
      <c r="D4" s="34" t="s">
        <v>1272</v>
      </c>
    </row>
    <row r="5" spans="1:4" ht="38.25" customHeight="1" x14ac:dyDescent="0.25">
      <c r="A5" s="35" t="s">
        <v>1273</v>
      </c>
      <c r="B5" s="35" t="s">
        <v>1274</v>
      </c>
      <c r="C5" s="35" t="s">
        <v>1275</v>
      </c>
      <c r="D5" s="35" t="s">
        <v>1276</v>
      </c>
    </row>
    <row r="6" spans="1:4" ht="38.25" customHeight="1" x14ac:dyDescent="0.25">
      <c r="A6" s="34" t="s">
        <v>1277</v>
      </c>
      <c r="B6" s="34" t="s">
        <v>1278</v>
      </c>
      <c r="C6" s="34" t="s">
        <v>1279</v>
      </c>
      <c r="D6" s="34" t="s">
        <v>1280</v>
      </c>
    </row>
    <row r="7" spans="1:4" x14ac:dyDescent="0.25">
      <c r="A7" s="35" t="s">
        <v>1281</v>
      </c>
      <c r="B7" s="35" t="s">
        <v>1282</v>
      </c>
      <c r="C7" s="35" t="s">
        <v>1283</v>
      </c>
      <c r="D7" s="35" t="s">
        <v>1284</v>
      </c>
    </row>
    <row r="8" spans="1:4" x14ac:dyDescent="0.25">
      <c r="A8" s="34"/>
      <c r="B8" s="34"/>
      <c r="C8" s="34"/>
      <c r="D8" s="34"/>
    </row>
    <row r="9" spans="1:4" x14ac:dyDescent="0.25">
      <c r="A9" s="32" t="s">
        <v>1285</v>
      </c>
      <c r="B9" s="32"/>
      <c r="C9" s="32"/>
      <c r="D9" s="32"/>
    </row>
    <row r="10" spans="1:4" x14ac:dyDescent="0.25">
      <c r="A10" s="33" t="s">
        <v>1286</v>
      </c>
      <c r="B10" s="33" t="s">
        <v>1287</v>
      </c>
      <c r="C10" s="33" t="s">
        <v>1288</v>
      </c>
      <c r="D10" s="33"/>
    </row>
    <row r="11" spans="1:4" ht="25.5" customHeight="1" x14ac:dyDescent="0.25">
      <c r="A11" s="35" t="s">
        <v>1289</v>
      </c>
      <c r="B11" s="35" t="s">
        <v>1290</v>
      </c>
      <c r="C11" s="35" t="s">
        <v>1291</v>
      </c>
      <c r="D11" s="35"/>
    </row>
    <row r="12" spans="1:4" ht="25.5" customHeight="1" x14ac:dyDescent="0.25">
      <c r="A12" s="34" t="s">
        <v>1292</v>
      </c>
      <c r="B12" s="34" t="s">
        <v>1293</v>
      </c>
      <c r="C12" s="34" t="s">
        <v>1294</v>
      </c>
      <c r="D12" s="34"/>
    </row>
    <row r="13" spans="1:4" ht="25.5" customHeight="1" x14ac:dyDescent="0.25">
      <c r="A13" s="35" t="s">
        <v>1295</v>
      </c>
      <c r="B13" s="35" t="s">
        <v>1296</v>
      </c>
      <c r="C13" s="35" t="s">
        <v>1297</v>
      </c>
      <c r="D13" s="35"/>
    </row>
    <row r="14" spans="1:4" ht="25.5" customHeight="1" x14ac:dyDescent="0.25">
      <c r="A14" s="34" t="s">
        <v>1298</v>
      </c>
      <c r="B14" s="34" t="s">
        <v>1299</v>
      </c>
      <c r="C14" s="34" t="s">
        <v>1300</v>
      </c>
      <c r="D14" s="34"/>
    </row>
    <row r="15" spans="1:4" ht="25.5" customHeight="1" x14ac:dyDescent="0.25">
      <c r="A15" s="35" t="s">
        <v>1301</v>
      </c>
      <c r="B15" s="35" t="s">
        <v>1302</v>
      </c>
      <c r="C15" s="35" t="s">
        <v>1303</v>
      </c>
      <c r="D15" s="35"/>
    </row>
    <row r="16" spans="1:4" ht="25.5" customHeight="1" x14ac:dyDescent="0.25">
      <c r="A16" s="34" t="s">
        <v>1304</v>
      </c>
      <c r="B16" s="34" t="s">
        <v>1305</v>
      </c>
      <c r="C16" s="34" t="s">
        <v>1306</v>
      </c>
      <c r="D16" s="34"/>
    </row>
    <row r="17" spans="1:4" x14ac:dyDescent="0.25">
      <c r="A17" s="35" t="s">
        <v>1307</v>
      </c>
      <c r="B17" s="35" t="s">
        <v>1308</v>
      </c>
      <c r="C17" s="35" t="s">
        <v>1309</v>
      </c>
      <c r="D17" s="35"/>
    </row>
    <row r="18" spans="1:4" x14ac:dyDescent="0.25">
      <c r="A18" s="34"/>
      <c r="B18" s="34"/>
      <c r="C18" s="34"/>
      <c r="D18" s="34"/>
    </row>
    <row r="19" spans="1:4" ht="25.5" customHeight="1" x14ac:dyDescent="0.25">
      <c r="A19" s="32" t="s">
        <v>1310</v>
      </c>
      <c r="B19" s="32"/>
      <c r="C19" s="32"/>
      <c r="D19" s="32"/>
    </row>
    <row r="20" spans="1:4" x14ac:dyDescent="0.25">
      <c r="A20" s="33" t="s">
        <v>1311</v>
      </c>
      <c r="B20" s="33" t="s">
        <v>1312</v>
      </c>
      <c r="C20" s="33"/>
      <c r="D20" s="33"/>
    </row>
    <row r="21" spans="1:4" ht="38.25" customHeight="1" x14ac:dyDescent="0.25">
      <c r="A21" s="35" t="s">
        <v>1313</v>
      </c>
      <c r="B21" s="35" t="s">
        <v>1314</v>
      </c>
      <c r="C21" s="35"/>
      <c r="D21" s="35"/>
    </row>
    <row r="22" spans="1:4" ht="38.25" customHeight="1" x14ac:dyDescent="0.25">
      <c r="A22" s="34" t="s">
        <v>1315</v>
      </c>
      <c r="B22" s="34" t="s">
        <v>1316</v>
      </c>
      <c r="C22" s="34"/>
      <c r="D22" s="34"/>
    </row>
    <row r="23" spans="1:4" ht="38.25" customHeight="1" x14ac:dyDescent="0.25">
      <c r="A23" s="35" t="s">
        <v>1317</v>
      </c>
      <c r="B23" s="35" t="s">
        <v>1318</v>
      </c>
      <c r="C23" s="35"/>
      <c r="D23" s="35"/>
    </row>
    <row r="24" spans="1:4" ht="38.25" customHeight="1" x14ac:dyDescent="0.25">
      <c r="A24" s="34" t="s">
        <v>1319</v>
      </c>
      <c r="B24" s="34" t="s">
        <v>1320</v>
      </c>
      <c r="C24" s="34"/>
      <c r="D24" s="34"/>
    </row>
    <row r="25" spans="1:4" ht="38.25" customHeight="1" x14ac:dyDescent="0.25">
      <c r="A25" s="35" t="s">
        <v>1321</v>
      </c>
      <c r="B25" s="35" t="s">
        <v>1322</v>
      </c>
      <c r="C25" s="35"/>
      <c r="D25" s="35"/>
    </row>
    <row r="26" spans="1:4" ht="38.25" customHeight="1" x14ac:dyDescent="0.25">
      <c r="A26" s="34" t="s">
        <v>1323</v>
      </c>
      <c r="B26" s="34" t="s">
        <v>1324</v>
      </c>
      <c r="C26" s="34"/>
      <c r="D26" s="34"/>
    </row>
    <row r="27" spans="1:4" ht="51" customHeight="1" x14ac:dyDescent="0.25">
      <c r="A27" s="35" t="s">
        <v>1325</v>
      </c>
      <c r="B27" s="35" t="s">
        <v>1326</v>
      </c>
      <c r="C27" s="35"/>
      <c r="D27" s="35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3YoE Profile</vt:lpstr>
      <vt:lpstr>Dashboard</vt:lpstr>
      <vt:lpstr>Roadmap</vt:lpstr>
      <vt:lpstr>Daily Timetable</vt:lpstr>
      <vt:lpstr>Study Tracker</vt:lpstr>
      <vt:lpstr>Skills Checklist</vt:lpstr>
      <vt:lpstr>Projects</vt:lpstr>
      <vt:lpstr>Interview Prep</vt:lpstr>
      <vt:lpstr>Applications</vt:lpstr>
      <vt:lpstr>Salary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Rajendra Prasad</cp:lastModifiedBy>
  <dcterms:created xsi:type="dcterms:W3CDTF">2026-03-14T06:02:00Z</dcterms:created>
  <dcterms:modified xsi:type="dcterms:W3CDTF">2026-03-14T06:36:15Z</dcterms:modified>
</cp:coreProperties>
</file>