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600" firstSheet="3" activeTab="3" autoFilterDateGrouping="1"/>
  </bookViews>
  <sheets>
    <sheet xmlns:r="http://schemas.openxmlformats.org/officeDocument/2006/relationships" name="3YoE Profil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Daily Timetable" sheetId="4" state="visible" r:id="rId4"/>
    <sheet xmlns:r="http://schemas.openxmlformats.org/officeDocument/2006/relationships" name="Study Tracker" sheetId="5" state="visible" r:id="rId5"/>
    <sheet xmlns:r="http://schemas.openxmlformats.org/officeDocument/2006/relationships" name="Skills Checklist" sheetId="6" state="visible" r:id="rId6"/>
    <sheet xmlns:r="http://schemas.openxmlformats.org/officeDocument/2006/relationships" name="Projects" sheetId="7" state="visible" r:id="rId7"/>
    <sheet xmlns:r="http://schemas.openxmlformats.org/officeDocument/2006/relationships" name="Interview Prep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Salary Guide" sheetId="10" state="visible" r:id="rId10"/>
    <sheet xmlns:r="http://schemas.openxmlformats.org/officeDocument/2006/relationships" name="Certifications Track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7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Arial"/>
      <b val="1"/>
      <color rgb="FFF5A623"/>
      <sz val="11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1A1A2E"/>
      <sz val="11"/>
    </font>
    <font>
      <name val="Arial"/>
      <b val="1"/>
      <color rgb="FFFFFFFF"/>
      <sz val="14"/>
    </font>
    <font>
      <name val="Arial"/>
      <sz val="9"/>
    </font>
    <font>
      <name val="Arial"/>
      <b val="1"/>
      <sz val="10"/>
    </font>
    <font>
      <name val="Arial"/>
      <b val="1"/>
      <color rgb="FFF5A623"/>
      <sz val="10"/>
    </font>
    <font>
      <name val="Arial"/>
      <b val="1"/>
      <color rgb="FF1A1A2E"/>
      <sz val="10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sz val="12"/>
    </font>
    <font>
      <name val="Calibri"/>
      <sz val="11"/>
    </font>
    <font>
      <name val="Calibri"/>
      <b val="1"/>
      <color rgb="FF1F4E79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b val="1"/>
      <color rgb="FFFFFFFF"/>
      <sz val="10"/>
    </font>
    <font>
      <b val="1"/>
      <color rgb="FFFFFFFF"/>
      <sz val="12"/>
    </font>
    <font>
      <b val="1"/>
      <color rgb="FFFFFFFF"/>
      <sz val="9"/>
    </font>
    <font>
      <sz val="9"/>
    </font>
    <font>
      <b val="1"/>
      <sz val="9"/>
    </font>
  </fonts>
  <fills count="2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F4F6F9"/>
      </patternFill>
    </fill>
    <fill>
      <patternFill patternType="solid">
        <fgColor rgb="FFFFFFFF"/>
      </patternFill>
    </fill>
    <fill>
      <patternFill patternType="solid">
        <fgColor rgb="FFF5A623"/>
      </patternFill>
    </fill>
    <fill>
      <patternFill patternType="solid">
        <fgColor rgb="FFEDE7F6"/>
      </patternFill>
    </fill>
    <fill>
      <patternFill patternType="solid">
        <fgColor rgb="FFE0F7FA"/>
      </patternFill>
    </fill>
    <fill>
      <patternFill patternType="solid">
        <fgColor rgb="FFFFF8E1"/>
      </patternFill>
    </fill>
    <fill>
      <patternFill patternType="solid">
        <fgColor rgb="FFE8EAF6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E6CC"/>
      </patternFill>
    </fill>
    <fill>
      <patternFill patternType="solid">
        <fgColor rgb="FFFFF2CC"/>
      </patternFill>
    </fill>
    <fill>
      <patternFill patternType="solid">
        <fgColor rgb="FFF8CEC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993556"/>
      </patternFill>
    </fill>
    <fill>
      <patternFill patternType="solid">
        <fgColor rgb="FFFBEAF0"/>
      </patternFill>
    </fill>
    <fill>
      <patternFill patternType="solid">
        <fgColor rgb="FFEEEDFE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0" fillId="0" borderId="0" pivotButton="0" quotePrefix="0" xfId="0"/>
    <xf numFmtId="0" fontId="5" fillId="6" borderId="1" applyAlignment="1" pivotButton="0" quotePrefix="0" xfId="0">
      <alignment horizontal="left" vertical="center"/>
    </xf>
    <xf numFmtId="0" fontId="15" fillId="21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20" fillId="24" borderId="0" pivotButton="0" quotePrefix="0" xfId="0"/>
    <xf numFmtId="0" fontId="20" fillId="26" borderId="0" pivotButton="0" quotePrefix="0" xfId="0"/>
    <xf numFmtId="164" fontId="0" fillId="24" borderId="0" applyAlignment="1" pivotButton="0" quotePrefix="0" xfId="0">
      <alignment vertical="top" wrapText="1"/>
    </xf>
    <xf numFmtId="0" fontId="0" fillId="24" borderId="0" applyAlignment="1" pivotButton="0" quotePrefix="0" xfId="0">
      <alignment vertical="top" wrapText="1"/>
    </xf>
    <xf numFmtId="164" fontId="0" fillId="25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14" fillId="2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5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4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1" fillId="24" borderId="0" pivotButton="0" quotePrefix="0" xfId="0"/>
    <xf numFmtId="0" fontId="21" fillId="26" borderId="0" pivotButton="0" quotePrefix="0" xfId="0"/>
    <xf numFmtId="0" fontId="10" fillId="3" borderId="0" applyAlignment="1" pivotButton="0" quotePrefix="0" xfId="0">
      <alignment horizontal="center" vertical="center"/>
    </xf>
    <xf numFmtId="0" fontId="19" fillId="23" borderId="0" applyAlignment="1" pivotButton="0" quotePrefix="0" xfId="0">
      <alignment horizontal="left"/>
    </xf>
    <xf numFmtId="0" fontId="12" fillId="2" borderId="0" applyAlignment="1" pivotButton="0" quotePrefix="0" xfId="0">
      <alignment horizontal="center" vertical="center"/>
    </xf>
    <xf numFmtId="0" fontId="8" fillId="26" borderId="1" applyAlignment="1" pivotButton="0" quotePrefix="0" xfId="0">
      <alignment horizontal="left" vertical="center"/>
    </xf>
    <xf numFmtId="0" fontId="8" fillId="26" borderId="1" applyAlignment="1" pivotButton="0" quotePrefix="0" xfId="0">
      <alignment horizontal="left" vertical="center" wrapText="1"/>
    </xf>
    <xf numFmtId="0" fontId="22" fillId="4" borderId="0" pivotButton="0" quotePrefix="0" xfId="0"/>
    <xf numFmtId="0" fontId="22" fillId="4" borderId="1" applyAlignment="1" pivotButton="0" quotePrefix="0" xfId="0">
      <alignment horizontal="left" vertical="center" wrapText="1"/>
    </xf>
    <xf numFmtId="0" fontId="23" fillId="2" borderId="0" pivotButton="0" quotePrefix="0" xfId="0"/>
    <xf numFmtId="0" fontId="24" fillId="4" borderId="0" pivotButton="0" quotePrefix="0" xfId="0"/>
    <xf numFmtId="0" fontId="25" fillId="5" borderId="0" pivotButton="0" quotePrefix="0" xfId="0"/>
    <xf numFmtId="0" fontId="26" fillId="0" borderId="0" pivotButton="0" quotePrefix="0" xfId="0"/>
    <xf numFmtId="0" fontId="2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topLeftCell="A4" workbookViewId="0">
      <selection activeCell="A1" sqref="A1:G1"/>
    </sheetView>
  </sheetViews>
  <sheetFormatPr baseColWidth="8" defaultRowHeight="15"/>
  <cols>
    <col width="22" customWidth="1" style="52" min="1" max="1"/>
    <col width="45" customWidth="1" style="52" min="2" max="2"/>
    <col width="40" customWidth="1" style="52" min="3" max="3"/>
    <col width="12" customWidth="1" style="52" min="4" max="4"/>
    <col width="15" customWidth="1" style="52" min="5" max="5"/>
    <col width="35" customWidth="1" style="52" min="6" max="6"/>
  </cols>
  <sheetData>
    <row r="1" ht="30" customHeight="1" s="52">
      <c r="A1" s="51" t="inlineStr">
        <is>
          <t>🎯  YOUR 3+ YoE PROFILE  —  Linux Admin + DevOps + AWS + Shell Scripting</t>
        </is>
      </c>
    </row>
    <row r="2">
      <c r="A2" s="39" t="inlineStr">
        <is>
          <t>Category</t>
        </is>
      </c>
      <c r="B2" s="39" t="inlineStr">
        <is>
          <t>What You Already Have (3+ YoE)</t>
        </is>
      </c>
      <c r="C2" s="39" t="inlineStr">
        <is>
          <t>Gap to Close</t>
        </is>
      </c>
      <c r="D2" s="39" t="inlineStr">
        <is>
          <t>Priority</t>
        </is>
      </c>
      <c r="E2" s="39" t="inlineStr">
        <is>
          <t>Timeline</t>
        </is>
      </c>
      <c r="F2" s="39" t="inlineStr">
        <is>
          <t>Resources</t>
        </is>
      </c>
    </row>
    <row r="3" ht="45" customHeight="1" s="52">
      <c r="A3" s="40" t="inlineStr">
        <is>
          <t>🐧 Linux Admin</t>
        </is>
      </c>
      <c r="B3" s="40" t="inlineStr">
        <is>
          <t>Shell scripting, user mgmt, services, cron, logs, SSH, file systems</t>
        </is>
      </c>
      <c r="C3" s="40" t="inlineStr">
        <is>
          <t>cgroups/namespaces internals, systemd deep dive, iptables advanced, SELinux basics</t>
        </is>
      </c>
      <c r="D3" s="40" t="inlineStr">
        <is>
          <t>HIGH</t>
        </is>
      </c>
      <c r="E3" s="40" t="inlineStr">
        <is>
          <t>Week 1-2</t>
        </is>
      </c>
      <c r="F3" s="40" t="inlineStr">
        <is>
          <t>TLDP Advanced Bash, Linux man pages, Practice on EC2</t>
        </is>
      </c>
    </row>
    <row r="4" ht="45" customHeight="1" s="52">
      <c r="A4" s="41" t="inlineStr">
        <is>
          <t>🔀 Shell Scripting</t>
        </is>
      </c>
      <c r="B4" s="41" t="inlineStr">
        <is>
          <t>Bash scripts for automation, cron jobs, log parsing</t>
        </is>
      </c>
      <c r="C4" s="41" t="inlineStr">
        <is>
          <t>Error handling (trap/set -e), getopts, parallel execution, jq, heredoc, unit testing scripts</t>
        </is>
      </c>
      <c r="D4" s="41" t="inlineStr">
        <is>
          <t>HIGH</t>
        </is>
      </c>
      <c r="E4" s="41" t="inlineStr">
        <is>
          <t>Week 1-2</t>
        </is>
      </c>
      <c r="F4" s="41" t="inlineStr">
        <is>
          <t>TLDP Advanced Bash Guide, shellcheck tool</t>
        </is>
      </c>
    </row>
    <row r="5" ht="45" customHeight="1" s="52">
      <c r="A5" s="40" t="inlineStr">
        <is>
          <t>☁️ AWS Core</t>
        </is>
      </c>
      <c r="B5" s="40" t="inlineStr">
        <is>
          <t>EC2, S3, IAM basics, some VPC</t>
        </is>
      </c>
      <c r="C5" s="40" t="inlineStr">
        <is>
          <t>IAM policies/roles deep dive, VPC peering/TGW, ASG lifecycle, ALB/WAF, cross-account</t>
        </is>
      </c>
      <c r="D5" s="40" t="inlineStr">
        <is>
          <t>HIGH</t>
        </is>
      </c>
      <c r="E5" s="40" t="inlineStr">
        <is>
          <t>Week 8</t>
        </is>
      </c>
      <c r="F5" s="40" t="inlineStr">
        <is>
          <t>AWS Skill Builder, Stephane Maarek courses</t>
        </is>
      </c>
    </row>
    <row r="6" ht="45" customHeight="1" s="52">
      <c r="A6" s="41" t="inlineStr">
        <is>
          <t>🐳 Docker</t>
        </is>
      </c>
      <c r="B6" s="41" t="inlineStr">
        <is>
          <t>Build + run containers, basic Compose</t>
        </is>
      </c>
      <c r="C6" s="41" t="inlineStr">
        <is>
          <t>Multi-stage builds, image scanning (Trivy), security hardening, ECR integration</t>
        </is>
      </c>
      <c r="D6" s="41" t="inlineStr">
        <is>
          <t>HIGH</t>
        </is>
      </c>
      <c r="E6" s="41" t="inlineStr">
        <is>
          <t>Week 3</t>
        </is>
      </c>
      <c r="F6" s="41" t="inlineStr">
        <is>
          <t>Docker docs, Play with Docker labs</t>
        </is>
      </c>
    </row>
    <row r="7" ht="45" customHeight="1" s="52">
      <c r="A7" s="40" t="inlineStr">
        <is>
          <t>🔄 CI/CD</t>
        </is>
      </c>
      <c r="B7" s="40" t="inlineStr">
        <is>
          <t>Basic Jenkins or GitHub Actions usage</t>
        </is>
      </c>
      <c r="C7" s="40" t="inlineStr">
        <is>
          <t>Pipeline-as-code, OIDC auth to AWS, SonarQube gates, shared libraries</t>
        </is>
      </c>
      <c r="D7" s="40" t="inlineStr">
        <is>
          <t>HIGH</t>
        </is>
      </c>
      <c r="E7" s="40" t="inlineStr">
        <is>
          <t>Week 4</t>
        </is>
      </c>
      <c r="F7" s="40" t="inlineStr">
        <is>
          <t>Jenkins docs, GitHub Actions docs</t>
        </is>
      </c>
    </row>
    <row r="8" ht="45" customHeight="1" s="52">
      <c r="A8" s="41" t="inlineStr">
        <is>
          <t>☸️ Kubernetes</t>
        </is>
      </c>
      <c r="B8" s="41" t="inlineStr">
        <is>
          <t>Basic pod/deployment knowledge (if any)</t>
        </is>
      </c>
      <c r="C8" s="41" t="inlineStr">
        <is>
          <t>K8s architecture, RBAC, Helm, HPA, Ingress, debug CrashLoopBackOff</t>
        </is>
      </c>
      <c r="D8" s="41" t="inlineStr">
        <is>
          <t>MED-HIGH</t>
        </is>
      </c>
      <c r="E8" s="41" t="inlineStr">
        <is>
          <t>Week 5-6</t>
        </is>
      </c>
      <c r="F8" s="41" t="inlineStr">
        <is>
          <t>Kubernetes.io docs, KodeKloud K8s labs</t>
        </is>
      </c>
    </row>
    <row r="9" ht="45" customHeight="1" s="52">
      <c r="A9" s="40" t="inlineStr">
        <is>
          <t>🏗️ Terraform</t>
        </is>
      </c>
      <c r="B9" s="40" t="inlineStr">
        <is>
          <t>Maybe some Terraform basics</t>
        </is>
      </c>
      <c r="C9" s="40" t="inlineStr">
        <is>
          <t>Remote state (S3+DynamoDB), modules, for_each, workspaces</t>
        </is>
      </c>
      <c r="D9" s="40" t="inlineStr">
        <is>
          <t>MED</t>
        </is>
      </c>
      <c r="E9" s="40" t="inlineStr">
        <is>
          <t>Week 7</t>
        </is>
      </c>
      <c r="F9" s="40" t="inlineStr">
        <is>
          <t>Terraform docs, HashiCorp tutorials</t>
        </is>
      </c>
    </row>
    <row r="10" ht="45" customHeight="1" s="52">
      <c r="A10" s="41" t="inlineStr">
        <is>
          <t>🐍 Python DevOps</t>
        </is>
      </c>
      <c r="B10" s="41" t="inlineStr">
        <is>
          <t>Basic Python scripting</t>
        </is>
      </c>
      <c r="C10" s="41" t="inlineStr">
        <is>
          <t>boto3 for AWS automation, argparse, subprocess, REST API calls, error handling</t>
        </is>
      </c>
      <c r="D10" s="41" t="inlineStr">
        <is>
          <t>MED</t>
        </is>
      </c>
      <c r="E10" s="41" t="inlineStr">
        <is>
          <t>Week 2</t>
        </is>
      </c>
      <c r="F10" s="41" t="inlineStr">
        <is>
          <t>boto3 docs, Python for DevOps book</t>
        </is>
      </c>
    </row>
    <row r="11" ht="45" customHeight="1" s="52">
      <c r="A11" s="40" t="inlineStr">
        <is>
          <t>📊 Monitoring</t>
        </is>
      </c>
      <c r="B11" s="40" t="inlineStr">
        <is>
          <t>Basic CloudWatch awareness</t>
        </is>
      </c>
      <c r="C11" s="40" t="inlineStr">
        <is>
          <t>Prometheus + Grafana setup, custom metrics, alerting, Log Insights queries</t>
        </is>
      </c>
      <c r="D11" s="40" t="inlineStr">
        <is>
          <t>MED</t>
        </is>
      </c>
      <c r="E11" s="40" t="inlineStr">
        <is>
          <t>Week 11</t>
        </is>
      </c>
      <c r="F11" s="40" t="inlineStr">
        <is>
          <t>Prometheus docs, Grafana docs, AWS Observability</t>
        </is>
      </c>
    </row>
    <row r="12" ht="45" customHeight="1" s="52">
      <c r="A12" s="41" t="inlineStr">
        <is>
          <t>🔐 Security</t>
        </is>
      </c>
      <c r="B12" s="41" t="inlineStr">
        <is>
          <t>Basic IAM understanding</t>
        </is>
      </c>
      <c r="C12" s="41" t="inlineStr">
        <is>
          <t>IAM permission boundaries, GuardDuty, WAF, KMS, container security</t>
        </is>
      </c>
      <c r="D12" s="41" t="inlineStr">
        <is>
          <t>MED</t>
        </is>
      </c>
      <c r="E12" s="41" t="inlineStr">
        <is>
          <t>Week 12</t>
        </is>
      </c>
      <c r="F12" s="41" t="inlineStr">
        <is>
          <t>AWS Security Hub docs, OWASP</t>
        </is>
      </c>
    </row>
    <row r="14" ht="15.75" customHeight="1" s="52">
      <c r="A14" s="42" t="inlineStr">
        <is>
          <t>🎯 TARGET JOB TITLES (3+ YoE)</t>
        </is>
      </c>
    </row>
    <row r="15">
      <c r="A15" s="43" t="inlineStr">
        <is>
          <t xml:space="preserve">  ✅  Linux Administrator + DevOps Engineer</t>
        </is>
      </c>
    </row>
    <row r="16">
      <c r="A16" s="43" t="inlineStr">
        <is>
          <t xml:space="preserve">  ✅  DevOps Engineer (AWS + Linux)</t>
        </is>
      </c>
    </row>
    <row r="17">
      <c r="A17" s="43" t="inlineStr">
        <is>
          <t xml:space="preserve">  ✅  Cloud DevOps Engineer</t>
        </is>
      </c>
    </row>
    <row r="18">
      <c r="A18" s="43" t="inlineStr">
        <is>
          <t xml:space="preserve">  ✅  AWS Cloud Engineer</t>
        </is>
      </c>
    </row>
    <row r="19">
      <c r="A19" s="43" t="inlineStr">
        <is>
          <t xml:space="preserve">  ✅  Site Reliability Engineer (SRE) — Junior/Mid</t>
        </is>
      </c>
    </row>
    <row r="20">
      <c r="A20" s="43" t="inlineStr">
        <is>
          <t xml:space="preserve">  ✅  Infrastructure Engineer (AWS)</t>
        </is>
      </c>
    </row>
    <row r="21">
      <c r="A21" s="43" t="inlineStr">
        <is>
          <t xml:space="preserve">  ✅  Platform Engineer</t>
        </is>
      </c>
    </row>
    <row r="22">
      <c r="A22" s="43" t="inlineStr">
        <is>
          <t xml:space="preserve">  ✅  Build &amp; Release Engineer</t>
        </is>
      </c>
    </row>
    <row r="24" ht="15.75" customHeight="1" s="52">
      <c r="A24" s="42" t="inlineStr">
        <is>
          <t>💰 SALARY TARGET (India 2026)</t>
        </is>
      </c>
    </row>
    <row r="25">
      <c r="A25" s="44" t="inlineStr">
        <is>
          <t xml:space="preserve">  3+ YoE DevOps/Linux role:  ₹18 – 35 LPA  (negotiate from your strengths: Linux + AWS + automation)</t>
        </is>
      </c>
    </row>
    <row r="27" ht="15.75" customHeight="1" s="52">
      <c r="A27" s="42" t="inlineStr">
        <is>
          <t>⚡ YOUR DIFFERENTIATORS vs. Freshers</t>
        </is>
      </c>
    </row>
    <row r="28">
      <c r="A28" s="43" t="inlineStr">
        <is>
          <t xml:space="preserve">  ✅  Real Linux admin experience → production troubleshooting stories for interviews</t>
        </is>
      </c>
    </row>
    <row r="29">
      <c r="A29" s="43" t="inlineStr">
        <is>
          <t xml:space="preserve">  ✅  Shell scripting done on real servers → not just theory</t>
        </is>
      </c>
    </row>
    <row r="30">
      <c r="A30" s="43" t="inlineStr">
        <is>
          <t xml:space="preserve">  ✅  AWS exposure → shows cloud intent + practical knowledge</t>
        </is>
      </c>
    </row>
    <row r="31">
      <c r="A31" s="43" t="inlineStr">
        <is>
          <t xml:space="preserve">  ✅  DevOps mindset: automation + reliability + repeatability</t>
        </is>
      </c>
    </row>
    <row r="32">
      <c r="A32" s="43" t="inlineStr">
        <is>
          <t xml:space="preserve">  ✅  Add: GitHub portfolio (5 projects) + AWS SAA cert = ₹5-8 LPA premium</t>
        </is>
      </c>
    </row>
    <row r="33">
      <c r="A33" t="inlineStr">
        <is>
          <t>🏗️ Platform Eng</t>
        </is>
      </c>
      <c r="B33" t="inlineStr">
        <is>
          <t>No IDP experience yet (most candidates)</t>
        </is>
      </c>
      <c r="C33" t="inlineStr">
        <is>
          <t>Backstage catalog + scaffolder + TechDocs deployment</t>
        </is>
      </c>
      <c r="D33" t="inlineStr">
        <is>
          <t>MED</t>
        </is>
      </c>
      <c r="E33" t="inlineStr">
        <is>
          <t>Week 13-14</t>
        </is>
      </c>
      <c r="F33" t="inlineStr">
        <is>
          <t>Backstage.io docs, Roadie Backstage tutorials, YouTube: Platform Engineering</t>
        </is>
      </c>
    </row>
    <row r="34">
      <c r="A34" t="inlineStr">
        <is>
          <t>🌐 eBPF / Cilium</t>
        </is>
      </c>
      <c r="B34" t="inlineStr">
        <is>
          <t>Basic iptables knowledge</t>
        </is>
      </c>
      <c r="C34" t="inlineStr">
        <is>
          <t>Cilium CNI, Hubble UI, eBPF-based network policies, replace kube-proxy</t>
        </is>
      </c>
      <c r="D34" t="inlineStr">
        <is>
          <t>MED</t>
        </is>
      </c>
      <c r="E34" t="inlineStr">
        <is>
          <t>Week 5-6</t>
        </is>
      </c>
      <c r="F34" t="inlineStr">
        <is>
          <t>Cilium docs, isovalent.com labs (free), eBPF.io</t>
        </is>
      </c>
    </row>
    <row r="35">
      <c r="A35" t="inlineStr">
        <is>
          <t>🤖 AI DevOps</t>
        </is>
      </c>
      <c r="B35" t="inlineStr">
        <is>
          <t>Casual AI tool usage</t>
        </is>
      </c>
      <c r="C35" t="inlineStr">
        <is>
          <t>Amazon Q CLI, GitHub Copilot in CI/CD, AI-assisted IaC review, responsible AI usage</t>
        </is>
      </c>
      <c r="D35" t="inlineStr">
        <is>
          <t>LOW</t>
        </is>
      </c>
      <c r="E35" t="inlineStr">
        <is>
          <t>Week 1-16 (ongoing)</t>
        </is>
      </c>
      <c r="F35" t="inlineStr">
        <is>
          <t>Amazon Q docs, GitHub Copilot docs, AWS re:Invent AI DevOps talks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94560"/>
    <outlinePr summaryBelow="1" summaryRight="1"/>
    <pageSetUpPr/>
  </sheetPr>
  <dimension ref="A1:H25"/>
  <sheetViews>
    <sheetView workbookViewId="0">
      <pane ySplit="2" topLeftCell="A3" activePane="bottomLeft" state="frozen"/>
      <selection activeCell="A1" sqref="A1:G1"/>
      <selection pane="bottomLeft" activeCell="A1" sqref="A1:G1"/>
    </sheetView>
  </sheetViews>
  <sheetFormatPr baseColWidth="8" defaultRowHeight="15"/>
  <cols>
    <col width="42" customWidth="1" style="52" min="1" max="1"/>
    <col width="16" customWidth="1" style="52" min="2" max="2"/>
    <col width="32" customWidth="1" style="52" min="3" max="3"/>
    <col width="3" customWidth="1" style="52" min="4" max="4"/>
    <col width="38" customWidth="1" style="52" min="5" max="5"/>
    <col width="14" customWidth="1" style="52" min="6" max="6"/>
    <col width="8" customWidth="1" style="52" min="7" max="7"/>
  </cols>
  <sheetData>
    <row r="1" ht="42" customHeight="1" s="52">
      <c r="A1" s="59" t="inlineStr">
        <is>
          <t>🚀  AWS DevOps Engineer (Linux + AWS + Shell)  —  Job Switch Tracker</t>
        </is>
      </c>
    </row>
    <row r="2" ht="24" customHeight="1" s="52">
      <c r="A2" s="58" t="inlineStr">
        <is>
          <t>Target: AWS DevOps / Linux DevOps Engineer  |  3+ Years Level  |  Strong Package  |  Start: 20 March 2026</t>
        </is>
      </c>
    </row>
    <row r="4" ht="15.75" customHeight="1" s="52">
      <c r="A4" s="56" t="inlineStr">
        <is>
          <t>📊  LIVE METRICS  (auto-updates)</t>
        </is>
      </c>
    </row>
    <row r="5">
      <c r="A5" s="1" t="inlineStr">
        <is>
          <t>Metric</t>
        </is>
      </c>
      <c r="B5" s="1" t="inlineStr">
        <is>
          <t>Value</t>
        </is>
      </c>
      <c r="C5" s="1" t="inlineStr">
        <is>
          <t>Note</t>
        </is>
      </c>
      <c r="D5" s="1" t="n"/>
      <c r="E5" s="1" t="inlineStr">
        <is>
          <t>Key Milestones</t>
        </is>
      </c>
      <c r="F5" s="1" t="inlineStr">
        <is>
          <t>Target Date</t>
        </is>
      </c>
      <c r="G5" s="1" t="inlineStr">
        <is>
          <t>Done?</t>
        </is>
      </c>
      <c r="H5" s="1" t="n"/>
    </row>
    <row r="6">
      <c r="A6" s="53" t="inlineStr">
        <is>
          <t>Overall Study Progress (%)</t>
        </is>
      </c>
      <c r="B6" s="53">
        <f>IFERROR(COUNTIF('Skills Checklist'!F:F,"Done")/COUNTIF('Skills Checklist'!A:A,"&lt;&gt;""")* 100,0)</f>
        <v/>
      </c>
      <c r="C6" s="53" t="inlineStr">
        <is>
          <t>Starts Week of 20 Mar 2026</t>
        </is>
      </c>
      <c r="E6" s="53" t="inlineStr">
        <is>
          <t>Linux + Git + Networking mastery</t>
        </is>
      </c>
      <c r="F6" s="53" t="inlineStr">
        <is>
          <t>2026-04-05</t>
        </is>
      </c>
      <c r="G6" s="53" t="inlineStr">
        <is>
          <t>☐</t>
        </is>
      </c>
    </row>
    <row r="7">
      <c r="A7" s="57" t="inlineStr">
        <is>
          <t>Weeks Elapsed</t>
        </is>
      </c>
      <c r="B7" s="57">
        <f>IFERROR(INT((TODAY()-DATE(2026,3,20))/7),0)</f>
        <v/>
      </c>
      <c r="C7" s="57" t="inlineStr">
        <is>
          <t>Auto-calculated from today</t>
        </is>
      </c>
      <c r="E7" s="57" t="inlineStr">
        <is>
          <t>Docker + K8s working locally</t>
        </is>
      </c>
      <c r="F7" s="57" t="inlineStr">
        <is>
          <t>2026-04-26</t>
        </is>
      </c>
      <c r="G7" s="57" t="inlineStr">
        <is>
          <t>☐</t>
        </is>
      </c>
    </row>
    <row r="8">
      <c r="A8" s="53" t="inlineStr">
        <is>
          <t>Weeks Remaining (of 16)</t>
        </is>
      </c>
      <c r="B8" s="53">
        <f>MAX(0,16-IFERROR(INT((TODAY()-DATE(2026,3,20))/7),0))</f>
        <v/>
      </c>
      <c r="C8" s="53" t="inlineStr">
        <is>
          <t>16-week plan</t>
        </is>
      </c>
      <c r="E8" s="53" t="inlineStr">
        <is>
          <t>Terraform AWS stack live</t>
        </is>
      </c>
      <c r="F8" s="53" t="inlineStr">
        <is>
          <t>2026-05-17</t>
        </is>
      </c>
      <c r="G8" s="53" t="inlineStr">
        <is>
          <t>☐</t>
        </is>
      </c>
    </row>
    <row r="9">
      <c r="A9" s="57" t="inlineStr">
        <is>
          <t>Skills: Done</t>
        </is>
      </c>
      <c r="B9" s="57">
        <f>COUNTIF('Skills Checklist'!F:F,"Done")</f>
        <v/>
      </c>
      <c r="C9" s="57" t="inlineStr">
        <is>
          <t>Count from Skills Checklist</t>
        </is>
      </c>
      <c r="E9" s="57" t="inlineStr">
        <is>
          <t>EKS cluster deployed</t>
        </is>
      </c>
      <c r="F9" s="57" t="inlineStr">
        <is>
          <t>2026-06-07</t>
        </is>
      </c>
      <c r="G9" s="57" t="inlineStr">
        <is>
          <t>☐</t>
        </is>
      </c>
    </row>
    <row r="10">
      <c r="A10" s="53" t="inlineStr">
        <is>
          <t>Skills: In Progress</t>
        </is>
      </c>
      <c r="B10" s="53">
        <f>COUNTIF('Skills Checklist'!F:F,"In Progress")</f>
        <v/>
      </c>
      <c r="C10" s="53" t="n"/>
      <c r="E10" s="53" t="inlineStr">
        <is>
          <t>Portfolio: 5 projects on GitHub</t>
        </is>
      </c>
      <c r="F10" s="53" t="inlineStr">
        <is>
          <t>2026-06-28</t>
        </is>
      </c>
      <c r="G10" s="53" t="inlineStr">
        <is>
          <t>☐</t>
        </is>
      </c>
    </row>
    <row r="11">
      <c r="A11" s="57" t="inlineStr">
        <is>
          <t>Skills: Not Started</t>
        </is>
      </c>
      <c r="B11" s="57">
        <f>COUNTIF('Skills Checklist'!F:F,"Not started")</f>
        <v/>
      </c>
      <c r="C11" s="57" t="n"/>
      <c r="E11" s="57" t="inlineStr">
        <is>
          <t>AWS SAA cert study done</t>
        </is>
      </c>
      <c r="F11" s="57" t="inlineStr">
        <is>
          <t>2026-07-05</t>
        </is>
      </c>
      <c r="G11" s="57" t="inlineStr">
        <is>
          <t>☐</t>
        </is>
      </c>
    </row>
    <row r="12">
      <c r="A12" s="53" t="inlineStr">
        <is>
          <t>Projects Completed</t>
        </is>
      </c>
      <c r="B12" s="53">
        <f>COUNTIF(Projects!I:I,"Done")</f>
        <v/>
      </c>
      <c r="C12" s="53" t="n"/>
      <c r="E12" s="53" t="inlineStr">
        <is>
          <t>25+ applications sent</t>
        </is>
      </c>
      <c r="F12" s="53" t="inlineStr">
        <is>
          <t>2026-07-05</t>
        </is>
      </c>
      <c r="G12" s="53" t="inlineStr">
        <is>
          <t>☐</t>
        </is>
      </c>
    </row>
    <row r="13">
      <c r="A13" s="57" t="inlineStr">
        <is>
          <t>Applications Submitted</t>
        </is>
      </c>
      <c r="B13" s="57">
        <f>COUNTA(Applications!A:A)-1</f>
        <v/>
      </c>
      <c r="C13" s="57" t="inlineStr">
        <is>
          <t>Rows with date filled</t>
        </is>
      </c>
      <c r="E13" s="57" t="inlineStr">
        <is>
          <t>First offer received</t>
        </is>
      </c>
      <c r="F13" s="57" t="inlineStr">
        <is>
          <t>2026-07-12</t>
        </is>
      </c>
      <c r="G13" s="57" t="inlineStr">
        <is>
          <t>☐</t>
        </is>
      </c>
    </row>
    <row r="14">
      <c r="A14" s="53" t="inlineStr">
        <is>
          <t>Interviews Scheduled</t>
        </is>
      </c>
      <c r="B14" s="53">
        <f>COUNTIF(Applications!F:F,"Interview")</f>
        <v/>
      </c>
      <c r="C14" s="53" t="n"/>
    </row>
    <row r="15">
      <c r="A15" s="57" t="inlineStr">
        <is>
          <t>Offers Received</t>
        </is>
      </c>
      <c r="B15" s="57">
        <f>COUNTIF(Applications!F:F,"Offer")</f>
        <v/>
      </c>
      <c r="C15" s="57" t="n"/>
    </row>
    <row r="17">
      <c r="A17" s="60" t="inlineStr">
        <is>
          <t>💡  DAILY FOCUS  — Update the Skills Checklist and Study Tracker every evening</t>
        </is>
      </c>
    </row>
    <row r="18">
      <c r="A18" s="53" t="inlineStr">
        <is>
          <t>✅  Morning (60 min): Theory — read docs / watch 1 topic</t>
        </is>
      </c>
      <c r="B18" s="54" t="n"/>
      <c r="C18" s="54" t="n"/>
      <c r="D18" s="54" t="n"/>
      <c r="E18" s="54" t="n"/>
      <c r="F18" s="54" t="n"/>
      <c r="G18" s="54" t="n"/>
      <c r="H18" s="55" t="n"/>
    </row>
    <row r="19">
      <c r="A19" s="57" t="inlineStr">
        <is>
          <t>✅  Evening (90 min): Hands-on lab — build something, push to GitHub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>
      <c r="A20" s="53" t="inlineStr">
        <is>
          <t>✅  Night (30 min): Notes + interview Q&amp;A drill + mark % complete in Study Tracker</t>
        </is>
      </c>
      <c r="B20" s="54" t="n"/>
      <c r="C20" s="54" t="n"/>
      <c r="D20" s="54" t="n"/>
      <c r="E20" s="54" t="n"/>
      <c r="F20" s="54" t="n"/>
      <c r="G20" s="54" t="n"/>
      <c r="H20" s="55" t="n"/>
    </row>
    <row r="21">
      <c r="A21" s="57" t="inlineStr">
        <is>
          <t>✅  Weekend Sat: Full project sprint (3-4 hrs) — build/extend portfolio project</t>
        </is>
      </c>
      <c r="B21" s="54" t="n"/>
      <c r="C21" s="54" t="n"/>
      <c r="D21" s="54" t="n"/>
      <c r="E21" s="54" t="n"/>
      <c r="F21" s="54" t="n"/>
      <c r="G21" s="54" t="n"/>
      <c r="H21" s="55" t="n"/>
    </row>
    <row r="22">
      <c r="A22" s="53" t="inlineStr">
        <is>
          <t>✅  Weekend Sun: Mock interview + apply to 5-10 jobs + plan next week</t>
        </is>
      </c>
      <c r="B22" s="54" t="n"/>
      <c r="C22" s="54" t="n"/>
      <c r="D22" s="54" t="n"/>
      <c r="E22" s="54" t="n"/>
      <c r="F22" s="54" t="n"/>
      <c r="G22" s="54" t="n"/>
      <c r="H22" s="55" t="n"/>
    </row>
    <row r="23">
      <c r="A23" s="57" t="inlineStr">
        <is>
          <t>⚡  Key Rule: 60% Hands-on  |  30% Theory  |  10% Interview Prep — ALWAYS</t>
        </is>
      </c>
      <c r="B23" s="54" t="n"/>
      <c r="C23" s="54" t="n"/>
      <c r="D23" s="54" t="n"/>
      <c r="E23" s="54" t="n"/>
      <c r="F23" s="54" t="n"/>
      <c r="G23" s="54" t="n"/>
      <c r="H23" s="55" t="n"/>
    </row>
    <row r="24">
      <c r="A24" s="53" t="inlineStr">
        <is>
          <t>⚡  Every topic: Build → Break → Fix → Document → GitHub. That IS real-time experience.</t>
        </is>
      </c>
      <c r="B24" s="54" t="n"/>
      <c r="C24" s="54" t="n"/>
      <c r="D24" s="54" t="n"/>
      <c r="E24" s="54" t="n"/>
      <c r="F24" s="54" t="n"/>
      <c r="G24" s="54" t="n"/>
      <c r="H24" s="55" t="n"/>
    </row>
    <row r="25">
      <c r="A25" s="57" t="inlineStr">
        <is>
          <t>⚡  Target: AWS Solutions Architect Associate OR AWS DevOps Professional cert alongside.</t>
        </is>
      </c>
      <c r="B25" s="54" t="n"/>
      <c r="C25" s="54" t="n"/>
      <c r="D25" s="54" t="n"/>
      <c r="E25" s="54" t="n"/>
      <c r="F25" s="54" t="n"/>
      <c r="G25" s="54" t="n"/>
      <c r="H25" s="55" t="n"/>
    </row>
  </sheetData>
  <mergeCells count="12">
    <mergeCell ref="A18:H18"/>
    <mergeCell ref="A4:H4"/>
    <mergeCell ref="A21:H21"/>
    <mergeCell ref="A25:H25"/>
    <mergeCell ref="A20:H20"/>
    <mergeCell ref="A24:H24"/>
    <mergeCell ref="A2:H2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F3460"/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52" min="1" max="1"/>
    <col width="16" customWidth="1" style="52" min="2" max="2"/>
    <col width="24" customWidth="1" style="52" min="3" max="3"/>
    <col width="52" customWidth="1" style="52" min="4" max="4"/>
    <col width="46" customWidth="1" style="52" min="5" max="6"/>
    <col width="36" customWidth="1" style="52" min="7" max="7"/>
  </cols>
  <sheetData>
    <row r="1" ht="36" customHeight="1" s="52">
      <c r="A1" s="61" t="inlineStr">
        <is>
          <t>🗺️  16-WEEK AWS DEVOPS ENGINEER ROADMAP (3+ YoE)  —  Start: 20 March 2026</t>
        </is>
      </c>
    </row>
    <row r="2">
      <c r="A2" s="1" t="inlineStr">
        <is>
          <t>Week</t>
        </is>
      </c>
      <c r="B2" s="1" t="inlineStr">
        <is>
          <t>Date Range</t>
        </is>
      </c>
      <c r="C2" s="1" t="inlineStr">
        <is>
          <t>Phase</t>
        </is>
      </c>
      <c r="D2" s="1" t="inlineStr">
        <is>
          <t>Core Topics (Senior-Level)</t>
        </is>
      </c>
      <c r="E2" s="1" t="inlineStr">
        <is>
          <t>Hands-On Deliverables</t>
        </is>
      </c>
      <c r="F2" s="1" t="inlineStr">
        <is>
          <t>Interview Q Focus</t>
        </is>
      </c>
      <c r="G2" s="1" t="inlineStr">
        <is>
          <t>Resources</t>
        </is>
      </c>
    </row>
    <row r="3" ht="72" customHeight="1" s="52">
      <c r="A3" s="2" t="inlineStr">
        <is>
          <t>Week 1</t>
        </is>
      </c>
      <c r="B3" s="3" t="inlineStr">
        <is>
          <t>20 Mar–26 Mar</t>
        </is>
      </c>
      <c r="C3" s="3" t="inlineStr">
        <is>
          <t>🐧 Linux &amp; Git Deep Dive</t>
        </is>
      </c>
      <c r="D3" s="3" t="inlineStr">
        <is>
          <t>Linux internals: cgroups, namespaces, systemd units, journald; Advanced Git: rebase, cherry-pick, bisect, hooks, submodules; Networking: TCP/UDP, DNS, SSL/TLS, iptables, netstat</t>
        </is>
      </c>
      <c r="E3" s="3" t="inlineStr">
        <is>
          <t>Write 3 systemd service units; Git branching workflow with hooks; capture network traffic with tcpdump; troubleshoot DNS resolution</t>
        </is>
      </c>
      <c r="F3" s="3" t="inlineStr">
        <is>
          <t>How does Linux process isolation work? Git rebase vs merge? Explain TCP 3-way handshake.</t>
        </is>
      </c>
      <c r="G3" s="3" t="inlineStr">
        <is>
          <t>Linux man pages; Pro Git book; TLDP networking guide</t>
        </is>
      </c>
    </row>
    <row r="4" ht="72" customHeight="1" s="52">
      <c r="A4" s="2" t="inlineStr">
        <is>
          <t>Week 2</t>
        </is>
      </c>
      <c r="B4" s="3" t="inlineStr">
        <is>
          <t>27 Mar–02 Apr</t>
        </is>
      </c>
      <c r="C4" s="3" t="inlineStr">
        <is>
          <t>🐍 Scripting &amp; Automation</t>
        </is>
      </c>
      <c r="D4" s="3" t="inlineStr">
        <is>
          <t>Bash: functions, error handling, trap, getopts, heredoc; Python for DevOps: argparse, subprocess, boto3 basics, REST API calls; Cron + systemd timers</t>
        </is>
      </c>
      <c r="E4" s="3" t="inlineStr">
        <is>
          <t>Bash backup script with logging + error handling; Python script to list/tag AWS resources via boto3; auto-restart script for a service</t>
        </is>
      </c>
      <c r="F4" s="3" t="inlineStr">
        <is>
          <t>Write a bash script that deploys with rollback. How would you automate patching? boto3 vs AWS CLI.</t>
        </is>
      </c>
      <c r="G4" s="3" t="inlineStr">
        <is>
          <t>Python docs; TLDP Advanced Bash Guide; boto3 docs</t>
        </is>
      </c>
    </row>
    <row r="5" ht="72" customHeight="1" s="52">
      <c r="A5" s="2" t="inlineStr">
        <is>
          <t>Week 3</t>
        </is>
      </c>
      <c r="B5" s="3" t="inlineStr">
        <is>
          <t>03 Apr–09 Apr</t>
        </is>
      </c>
      <c r="C5" s="3" t="inlineStr">
        <is>
          <t>🐳 Docker &amp; Containers Advanced</t>
        </is>
      </c>
      <c r="D5" s="3" t="inlineStr">
        <is>
          <t>Docker: multi-stage builds, BuildKit, image security (Trivy scan), Docker networks advanced, Compose v2, resource limits; Container runtime internals; Dockerfile best practices for prod</t>
        </is>
      </c>
      <c r="E5" s="3" t="inlineStr">
        <is>
          <t>Multi-stage Dockerfile for Java app; docker-compose with Nginx+App+Postgres; scan image with Trivy; push to ECR; compare image sizes before/after optimisation</t>
        </is>
      </c>
      <c r="F5" s="3" t="inlineStr">
        <is>
          <t>Multi-stage builds explain. How do you minimise image size? Trivy vs Snyk. Container escape risks.</t>
        </is>
      </c>
      <c r="G5" s="3" t="inlineStr">
        <is>
          <t>Docker docs; Trivy docs; container security best practices</t>
        </is>
      </c>
    </row>
    <row r="6" ht="72" customHeight="1" s="52">
      <c r="A6" s="2" t="inlineStr">
        <is>
          <t>Week 4</t>
        </is>
      </c>
      <c r="B6" s="3" t="inlineStr">
        <is>
          <t>10 Apr–16 Apr</t>
        </is>
      </c>
      <c r="C6" s="3" t="inlineStr">
        <is>
          <t>🔄 CI/CD — Jenkins &amp; GitHub Actions</t>
        </is>
      </c>
      <c r="D6" s="3" t="inlineStr">
        <is>
          <t>Jenkins: pipelines-as-code (Jenkinsfile), shared libraries, agents, Blue Ocean; GitHub Actions: matrix builds, reusable workflows, secrets, OIDC to AWS; Artifact management with Nexus/Artifactory; SonarQube quality gates; branch protection policies</t>
        </is>
      </c>
      <c r="E6" s="3" t="inlineStr">
        <is>
          <t>Full Jenkins pipeline: lint → test → SonarQube → Docker build → push ECR → deploy; GitHub Actions OIDC to AWS (no long-lived keys); Nexus repo for artifacts</t>
        </is>
      </c>
      <c r="F6" s="3" t="inlineStr">
        <is>
          <t>Explain CI vs CD vs CD. How do you handle secrets in pipelines? OIDC vs IAM user for GitHub Actions.</t>
        </is>
      </c>
      <c r="G6" s="3" t="inlineStr">
        <is>
          <t>Jenkins docs; GitHub Actions docs; SonarQube docs; Nexus docs</t>
        </is>
      </c>
    </row>
    <row r="7" ht="72" customHeight="1" s="52">
      <c r="A7" s="4" t="inlineStr">
        <is>
          <t>Week 5</t>
        </is>
      </c>
      <c r="B7" s="5" t="inlineStr">
        <is>
          <t>17 Apr–23 Apr</t>
        </is>
      </c>
      <c r="C7" s="5" t="inlineStr">
        <is>
          <t>☸️ Kubernetes I — Core &amp; Production Patterns</t>
        </is>
      </c>
      <c r="D7" s="5" t="inlineStr">
        <is>
          <t>K8s architecture deep: API server, etcd, scheduler, kubelet; Pods, ReplicaSets, Deployments, StatefulSets, DaemonSets; Services (ClusterIP/NodePort/LB); ConfigMaps/Secrets; Resource requests &amp; limits; Liveness/readiness probes; Rolling updates &amp; rollback</t>
        </is>
      </c>
      <c r="E7" s="5" t="inlineStr">
        <is>
          <t>Deploy 3-tier app on minikube/kind; configure health probes; simulate rolling update + rollback; debug CrashLoopBackOff and ImagePullBackOff; set resource quotas</t>
        </is>
      </c>
      <c r="F7" s="5" t="inlineStr">
        <is>
          <t>Explain etcd role. Pod vs Deployment. How does a rolling update work? Debug a pod stuck in Pending.</t>
        </is>
      </c>
      <c r="G7" s="5" t="inlineStr">
        <is>
          <t>Kubernetes docs; Kelsey Hightower's K8s the Hard Way (concepts)</t>
        </is>
      </c>
    </row>
    <row r="8" ht="72" customHeight="1" s="52">
      <c r="A8" s="4" t="inlineStr">
        <is>
          <t>Week 6</t>
        </is>
      </c>
      <c r="B8" s="5" t="inlineStr">
        <is>
          <t>24 Apr–30 Apr</t>
        </is>
      </c>
      <c r="C8" s="5" t="inlineStr">
        <is>
          <t>☸️ Kubernetes II — Advanced &amp; Security</t>
        </is>
      </c>
      <c r="D8" s="5" t="inlineStr">
        <is>
          <t>RBAC (ClusterRole, RoleBinding, ServiceAccount); Network Policies; Pod Security Standards; Ingress + Nginx Ingress Controller; HPA/VPA; Helm 3 (charts, hooks, values, templates); Kustomize; Persistent Volumes &amp; StorageClass; Multi-container patterns (sidecar, init, ambassador)</t>
        </is>
      </c>
      <c r="E8" s="5" t="inlineStr">
        <is>
          <t>RBAC: create dev/ops roles; network policy: block pod-to-pod traffic; HPA based on CPU; Helm chart for your app with prod/staging values; PVC with StorageClass; Ingress with TLS</t>
        </is>
      </c>
      <c r="F8" s="5" t="inlineStr">
        <is>
          <t>RBAC best practices. How does HPA work internally? Helm vs Kustomize. Network Policy ingress/egress.</t>
        </is>
      </c>
      <c r="G8" s="5" t="inlineStr">
        <is>
          <t>Helm docs; K8s RBAC docs; NginxIngressController docs</t>
        </is>
      </c>
    </row>
    <row r="9" ht="72" customHeight="1" s="52">
      <c r="A9" s="6" t="inlineStr">
        <is>
          <t>Week 7</t>
        </is>
      </c>
      <c r="B9" s="7" t="inlineStr">
        <is>
          <t>01 May–07 May</t>
        </is>
      </c>
      <c r="C9" s="7" t="inlineStr">
        <is>
          <t>🏗️ Terraform — Advanced IaC</t>
        </is>
      </c>
      <c r="D9" s="7" t="inlineStr">
        <is>
          <t>Terraform state management: remote state (S3+DynamoDB), state locking, import, mv, rm; Modules: reusable patterns, versioning, registry; Workspaces vs directory structure; Dynamic blocks; Locals, outputs, for_each, count; Atlantis for PR-based Terraform; Terragrunt concepts</t>
        </is>
      </c>
      <c r="E9" s="7" t="inlineStr">
        <is>
          <t>Terraform module: reusable VPC module; remote state in S3 with DynamoDB lock; deploy full AWS stack using modules; Atlantis plan/apply on PR; refactor with for_each</t>
        </is>
      </c>
      <c r="F9" s="7" t="inlineStr">
        <is>
          <t>Remote state locking explain. Module vs workspace. Terraform taint vs import. How do you handle secrets in Terraform?</t>
        </is>
      </c>
      <c r="G9" s="7" t="inlineStr">
        <is>
          <t>Terraform docs; Atlantis docs; Gruntwork Terragrunt guide</t>
        </is>
      </c>
    </row>
    <row r="10" ht="72" customHeight="1" s="52">
      <c r="A10" s="8" t="inlineStr">
        <is>
          <t>Week 8</t>
        </is>
      </c>
      <c r="B10" s="9" t="inlineStr">
        <is>
          <t>08 May–14 May</t>
        </is>
      </c>
      <c r="C10" s="9" t="inlineStr">
        <is>
          <t>☁️ AWS Core — Deep Dive</t>
        </is>
      </c>
      <c r="D10" s="9" t="inlineStr">
        <is>
          <t>IAM: policies (inline/managed), conditions, permission boundaries, SCP, assume-role, cross-account; VPC: subnets, route tables, NAT GW, Transit Gateway, VPC peering, PrivateLink; EC2: launch templates, ASG lifecycle hooks, spot instances, placement groups; S3: versioning, lifecycle, replication, pre-signed URLs, bucket policies; ALB: routing rules, target groups, HTTPS, WAF integration</t>
        </is>
      </c>
      <c r="E10" s="9" t="inlineStr">
        <is>
          <t>Cross-account IAM assume-role; Transit Gateway connecting 2 VPCs; ASG with lifecycle hook for graceful drain; S3 cross-region replication; ALB with path-based routing + HTTPS + WAF rule</t>
        </is>
      </c>
      <c r="F10" s="9" t="inlineStr">
        <is>
          <t>Explain IAM permission boundary. SCP vs resource policy. VPC peering vs Transit GW. ALB vs NLB.</t>
        </is>
      </c>
      <c r="G10" s="9" t="inlineStr">
        <is>
          <t>AWS docs; AWS IAM best practices; AWS VPC advanced guide</t>
        </is>
      </c>
    </row>
    <row r="11" ht="72" customHeight="1" s="52">
      <c r="A11" s="2" t="inlineStr">
        <is>
          <t>Week 9</t>
        </is>
      </c>
      <c r="B11" s="3" t="inlineStr">
        <is>
          <t>15 May–21 May</t>
        </is>
      </c>
      <c r="C11" s="3" t="inlineStr">
        <is>
          <t>🚢 AWS EKS — Production Kubernetes</t>
        </is>
      </c>
      <c r="D11" s="3" t="inlineStr">
        <is>
          <t>EKS: managed node groups vs Fargate vs self-managed; EKS add-ons (CoreDNS, kube-proxy, VPC CNI); IRSA (IAM Roles for Service Accounts); Cluster Autoscaler; AWS Load Balancer Controller; ExternalDNS; EKS upgrade strategy; ECR + image scanning; eksctl &amp; Terraform for EKS</t>
        </is>
      </c>
      <c r="E11" s="3" t="inlineStr">
        <is>
          <t>EKS cluster via Terraform; IRSA for pod AWS access; AWS LB Controller with NLB; ExternalDNS with Route 53; Cluster Autoscaler; scale from 0 scenario; ECR image scanning pipeline</t>
        </is>
      </c>
      <c r="F11" s="3" t="inlineStr">
        <is>
          <t>IRSA vs kube2iam. EKS managed vs self-managed nodes. Cluster Autoscaler vs Karpenter. EKS version upgrade steps.</t>
        </is>
      </c>
      <c r="G11" s="3" t="inlineStr">
        <is>
          <t>EKS docs; AWS LB Controller docs; eksctl docs; Karpenter docs</t>
        </is>
      </c>
    </row>
    <row r="12" ht="72" customHeight="1" s="52">
      <c r="A12" s="8" t="inlineStr">
        <is>
          <t>Week 10</t>
        </is>
      </c>
      <c r="B12" s="9" t="inlineStr">
        <is>
          <t>22 May–28 May</t>
        </is>
      </c>
      <c r="C12" s="9" t="inlineStr">
        <is>
          <t>☁️ AWS Advanced Services</t>
        </is>
      </c>
      <c r="D12" s="9" t="inlineStr">
        <is>
          <t>RDS: Multi-AZ, read replicas, parameter groups, snapshots, IAM auth; ElastiCache Redis; SQS/SNS event-driven patterns; Lambda: triggers, layers, concurrency, cold start, SAM; API Gateway; CloudFront + S3 static site; Route 53: health checks, failover, weighted routing; AWS Secrets Manager + Parameter Store</t>
        </is>
      </c>
      <c r="E12" s="9" t="inlineStr">
        <is>
          <t>RDS Multi-AZ with failover test; Lambda triggered by SQS with DLQ; API Gateway + Lambda REST API; CloudFront + S3 with OAI; Route 53 failover routing; Secrets Manager rotation</t>
        </is>
      </c>
      <c r="F12" s="9" t="inlineStr">
        <is>
          <t>RDS Multi-AZ vs Read Replica. Lambda cold start mitigation. SQS vs SNS vs EventBridge. CloudFront cache invalidation.</t>
        </is>
      </c>
      <c r="G12" s="9" t="inlineStr">
        <is>
          <t>AWS RDS docs; Lambda best practices; AWS event-driven architectures</t>
        </is>
      </c>
    </row>
    <row r="13" ht="72" customHeight="1" s="52">
      <c r="A13" s="2" t="inlineStr">
        <is>
          <t>Week 11</t>
        </is>
      </c>
      <c r="B13" s="3" t="inlineStr">
        <is>
          <t>29 May–04 Jun</t>
        </is>
      </c>
      <c r="C13" s="3" t="inlineStr">
        <is>
          <t>📊 Observability &amp; SRE</t>
        </is>
      </c>
      <c r="D13" s="3" t="inlineStr">
        <is>
          <t>CloudWatch: custom metrics, metric math, composite alarms, dashboards, Log Insights, Container Insights; Prometheus + Grafana on K8s (kube-prometheus-stack); Distributed tracing: X-Ray / OpenTelemetry; ELK/EFK stack concepts; SLI/SLO/SLA/Error budgets; Incident management; Runbooks</t>
        </is>
      </c>
      <c r="E13" s="3" t="inlineStr">
        <is>
          <t>CloudWatch dashboard with ALB + ECS metrics; Prometheus + Grafana on EKS; alert for p99 latency; CloudWatch Log Insights query for error rates; define SLO for a service; write a runbook</t>
        </is>
      </c>
      <c r="F13" s="3" t="inlineStr">
        <is>
          <t>SLI vs SLO vs SLA. Error budget explain. Prometheus pull vs push. CloudWatch Logs Insights vs Athena.</t>
        </is>
      </c>
      <c r="G13" s="3" t="inlineStr">
        <is>
          <t>Prometheus docs; Grafana docs; Google SRE Book (free online); AWS Observability best practices</t>
        </is>
      </c>
    </row>
    <row r="14" ht="72" customHeight="1" s="52">
      <c r="A14" s="2" t="inlineStr">
        <is>
          <t>Week 12</t>
        </is>
      </c>
      <c r="B14" s="3" t="inlineStr">
        <is>
          <t>05 Jun–11 Jun</t>
        </is>
      </c>
      <c r="C14" s="3" t="inlineStr">
        <is>
          <t>🔐 Security &amp; Compliance</t>
        </is>
      </c>
      <c r="D14" s="3" t="inlineStr">
        <is>
          <t>AWS Security Hub + GuardDuty + Inspector + Config; WAF rules (OWASP top 10); KMS key management; Secrets Manager rotation; IAM Access Analyzer; VPC Flow Logs analysis; Container security: Falco, image scanning; CIS benchmark for EKS; SOC2/PCI-DSS/ISO basics; SAST/DAST in pipelines</t>
        </is>
      </c>
      <c r="E14" s="3" t="inlineStr">
        <is>
          <t>Enable GuardDuty + Security Hub; WAF rule to block SQLi; KMS CMK for RDS encryption; Secrets Manager auto-rotation; IAM Access Analyzer findings; Falco on EKS; SonarQube SAST in CI pipeline</t>
        </is>
      </c>
      <c r="F14" s="3" t="inlineStr">
        <is>
          <t>GuardDuty vs Inspector vs Security Hub. WAF vs Shield. KMS CMK vs AWS managed key. Zero-trust network approach.</t>
        </is>
      </c>
      <c r="G14" s="3" t="inlineStr">
        <is>
          <t>AWS Security best practices; OWASP; CIS Benchmarks; AWS re:Inforce talks</t>
        </is>
      </c>
    </row>
    <row r="15" ht="72" customHeight="1" s="52">
      <c r="A15" s="2" t="inlineStr">
        <is>
          <t>Week 13</t>
        </is>
      </c>
      <c r="B15" s="3" t="inlineStr">
        <is>
          <t>12 Jun–18 Jun</t>
        </is>
      </c>
      <c r="C15" s="3" t="inlineStr">
        <is>
          <t>🔀 GitOps &amp; Advanced CD</t>
        </is>
      </c>
      <c r="D15" s="3" t="inlineStr">
        <is>
          <t>ArgoCD: app of apps, sync policies, RBAC, notifications; Flux v2: Kustomization + HelmRelease controllers; GitOps principles; Progressive delivery: Argo Rollouts (canary/blue-green); Feature flags; Multi-environment promotion patterns; Secrets in GitOps: Sealed Secrets / External Secrets Operator</t>
        </is>
      </c>
      <c r="E15" s="3" t="inlineStr">
        <is>
          <t>ArgoCD app-of-apps managing 3 environments; Argo Rollouts canary deploy with auto-promotion; External Secrets Operator pulling from AWS Secrets Manager; Flux managing HelmRelease; GitOps PR-based promotion pipeline</t>
        </is>
      </c>
      <c r="F15" s="3" t="inlineStr">
        <is>
          <t>GitOps vs traditional CD. ArgoCD vs Flux. Canary vs blue-green. How do you manage secrets in Git?</t>
        </is>
      </c>
      <c r="G15" s="3" t="inlineStr">
        <is>
          <t>ArgoCD docs; Flux docs; Argo Rollouts docs; External Secrets Operator docs</t>
        </is>
      </c>
    </row>
    <row r="16" ht="72" customHeight="1" s="52">
      <c r="A16" s="2" t="inlineStr">
        <is>
          <t>Week 14</t>
        </is>
      </c>
      <c r="B16" s="3" t="inlineStr">
        <is>
          <t>19 Jun–25 Jun</t>
        </is>
      </c>
      <c r="C16" s="3" t="inlineStr">
        <is>
          <t>💰 Cost Optimisation &amp; Multi-Account AWS</t>
        </is>
      </c>
      <c r="D16" s="3" t="inlineStr">
        <is>
          <t>AWS Cost Explorer + Budgets + Savings Plans; Spot + On-Demand + Reserved mix; Rightsizing recommendations; AWS Organizations + Control Tower; Landing Zone; SCPs; AWS Config rules; Account vending machine pattern; Tagging strategy; FinOps culture</t>
        </is>
      </c>
      <c r="E16" s="3" t="inlineStr">
        <is>
          <t>Cost dashboard with Budget alerts; spot instance fleet with fallback; tag enforcement via Config; SCP to restrict regions; multi-account VPC sharing; Savings Plan analysis report</t>
        </is>
      </c>
      <c r="F16" s="3" t="inlineStr">
        <is>
          <t>Savings Plan vs Reserved Instances. How do you reduce EKS costs? Tag strategy for chargeback. FinOps explain.</t>
        </is>
      </c>
      <c r="G16" s="3" t="inlineStr">
        <is>
          <t>AWS Cost Optimization pillar; FinOps Foundation; AWS Control Tower docs</t>
        </is>
      </c>
    </row>
    <row r="17" ht="72" customHeight="1" s="52">
      <c r="A17" s="10" t="inlineStr">
        <is>
          <t>Week 15</t>
        </is>
      </c>
      <c r="B17" s="11" t="inlineStr">
        <is>
          <t>26 Jun–02 Jul</t>
        </is>
      </c>
      <c r="C17" s="11" t="inlineStr">
        <is>
          <t>🏛️ System Design for Interviews</t>
        </is>
      </c>
      <c r="D17" s="11" t="inlineStr">
        <is>
          <t>Design: scalable CI/CD for 100 microservices; multi-region active-active; DR strategy (RTO/RPO); blue-green at scale; event-driven data pipeline; HA Kubernetes cluster; zero-downtime DB migration; monolith to microservices migration strategy</t>
        </is>
      </c>
      <c r="E17" s="11" t="inlineStr">
        <is>
          <t>Architecture diagram: end-to-end DevOps platform (draw.io); document DR plan with RTO/RPO; present 3 portfolio projects with architecture decisions; write ADRs (Architecture Decision Records)</t>
        </is>
      </c>
      <c r="F17" s="11" t="inlineStr">
        <is>
          <t>Design a CI/CD system for 50 teams. DR: active-active vs active-passive. How would you migrate a monolith? Zero-downtime deploy approach.</t>
        </is>
      </c>
      <c r="G17" s="11" t="inlineStr">
        <is>
          <t>AWS Well-Architected Framework; Designing Data-Intensive Applications; System Design Interview book</t>
        </is>
      </c>
    </row>
    <row r="18" ht="72" customHeight="1" s="52">
      <c r="A18" s="2" t="inlineStr">
        <is>
          <t>Week 16</t>
        </is>
      </c>
      <c r="B18" s="3" t="inlineStr">
        <is>
          <t>03 Jul–09 Jul</t>
        </is>
      </c>
      <c r="C18" s="3" t="inlineStr">
        <is>
          <t>🎯 Interview Sprint &amp; Job Switch</t>
        </is>
      </c>
      <c r="D18" s="3" t="inlineStr">
        <is>
          <t>STAR story bank (10+ stories); Behavioral: leadership, conflict, failure, impact; Technical mock interviews; Salary negotiation; Offer evaluation; LinkedIn optimisation; Resume ATS optimisation; Referrals strategy</t>
        </is>
      </c>
      <c r="E18" s="3" t="inlineStr">
        <is>
          <t>10 STAR stories documented; 5 mock interviews done; resume ATS score &gt;80%; LinkedIn 500+ connections; 30+ applications sent; negotiate — target ₹40-60 LPA range for 3+ YoE DevOps role</t>
        </is>
      </c>
      <c r="F18" s="3" t="inlineStr">
        <is>
          <t>Mock: full system design + coding + behavioural round. Negotiate: always counter. Know your BATNA.</t>
        </is>
      </c>
      <c r="G18" s="3" t="inlineStr">
        <is>
          <t>Cracking the Coding Interview; Grokking the System Design; Blind 75 for DSA brushup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B4D8"/>
    <outlinePr summaryBelow="1" summaryRight="1"/>
    <pageSetUpPr/>
  </sheetPr>
  <dimension ref="A1:I47"/>
  <sheetViews>
    <sheetView tabSelected="1" topLeftCell="A9" workbookViewId="0">
      <selection activeCell="G16" sqref="G16"/>
    </sheetView>
  </sheetViews>
  <sheetFormatPr baseColWidth="8" defaultRowHeight="15"/>
  <cols>
    <col width="12" customWidth="1" style="52" min="1" max="1"/>
    <col width="14" customWidth="1" style="52" min="2" max="2"/>
    <col width="20" customWidth="1" style="52" min="3" max="9"/>
  </cols>
  <sheetData>
    <row r="1" ht="36" customHeight="1" s="52">
      <c r="A1" s="61" t="inlineStr">
        <is>
          <t>📅  DAILY STUDY TIMETABLE  —  AWS DevOps + Linux Admin + AI Tools (3+ YoE)  (Starting 20 March 2026)</t>
        </is>
      </c>
    </row>
    <row r="2">
      <c r="A2" s="64" t="inlineStr">
        <is>
          <t>Rule: 50% Hands-on Labs  |  25% Theory &amp; Docs  |  15% AI Tool Practice  |  10% Interview Q&amp;A — Every day.</t>
        </is>
      </c>
    </row>
    <row r="4">
      <c r="A4" s="1" t="inlineStr">
        <is>
          <t>Time Slot</t>
        </is>
      </c>
      <c r="B4" s="1" t="inlineStr">
        <is>
          <t>Activity Type</t>
        </is>
      </c>
      <c r="C4" s="1" t="inlineStr">
        <is>
          <t>Monday</t>
        </is>
      </c>
      <c r="D4" s="1" t="inlineStr">
        <is>
          <t>Tuesday</t>
        </is>
      </c>
      <c r="E4" s="1" t="inlineStr">
        <is>
          <t>Wednesday</t>
        </is>
      </c>
      <c r="F4" s="1" t="inlineStr">
        <is>
          <t>Thursday</t>
        </is>
      </c>
      <c r="G4" s="1" t="inlineStr">
        <is>
          <t>Friday</t>
        </is>
      </c>
      <c r="H4" s="1" t="inlineStr">
        <is>
          <t>Saturday</t>
        </is>
      </c>
      <c r="I4" s="1" t="inlineStr">
        <is>
          <t>Sunday</t>
        </is>
      </c>
    </row>
    <row r="5" ht="36" customHeight="1" s="52">
      <c r="A5" s="12" t="inlineStr">
        <is>
          <t>05:30–06:00</t>
        </is>
      </c>
      <c r="B5" s="13" t="inlineStr">
        <is>
          <t>Warm-up</t>
        </is>
      </c>
      <c r="C5" s="14" t="inlineStr">
        <is>
          <t>Linux / Networking / AI tools</t>
        </is>
      </c>
      <c r="D5" s="15" t="inlineStr">
        <is>
          <t>Scripting / Python / boto3</t>
        </is>
      </c>
      <c r="E5" s="16" t="inlineStr">
        <is>
          <t>Docker / K8s / AI SecOps</t>
        </is>
      </c>
      <c r="F5" s="17" t="inlineStr">
        <is>
          <t>AWS Services / AI tools</t>
        </is>
      </c>
      <c r="G5" s="18" t="inlineStr">
        <is>
          <t>CI/CD / GitOps / AIOps</t>
        </is>
      </c>
      <c r="H5" s="19" t="inlineStr">
        <is>
          <t>Terraform / IaC / AI gen</t>
        </is>
      </c>
      <c r="I5" s="20" t="inlineStr">
        <is>
          <t>System Design + AI workflow</t>
        </is>
      </c>
    </row>
    <row r="6" ht="36" customHeight="1" s="52">
      <c r="A6" s="12" t="inlineStr">
        <is>
          <t>06:00–07:30</t>
        </is>
      </c>
      <c r="B6" s="13" t="inlineStr">
        <is>
          <t>🎓 Theory</t>
        </is>
      </c>
      <c r="C6" s="14" t="inlineStr">
        <is>
          <t>Linux / Networking / AI tools</t>
        </is>
      </c>
      <c r="D6" s="15" t="inlineStr">
        <is>
          <t>Scripting / Python / boto3</t>
        </is>
      </c>
      <c r="E6" s="16" t="inlineStr">
        <is>
          <t>Docker / K8s / AI SecOps</t>
        </is>
      </c>
      <c r="F6" s="17" t="inlineStr">
        <is>
          <t>AWS Services / AI tools</t>
        </is>
      </c>
      <c r="G6" s="18" t="inlineStr">
        <is>
          <t>CI/CD / GitOps / AIOps</t>
        </is>
      </c>
      <c r="H6" s="19" t="inlineStr">
        <is>
          <t>Terraform / IaC / AI gen</t>
        </is>
      </c>
      <c r="I6" s="20" t="inlineStr">
        <is>
          <t>System Design + AI workflow</t>
        </is>
      </c>
    </row>
    <row r="7" ht="36" customHeight="1" s="52">
      <c r="A7" s="12" t="inlineStr">
        <is>
          <t>07:30–08:00</t>
        </is>
      </c>
      <c r="B7" s="13" t="inlineStr">
        <is>
          <t>📝 Notes</t>
        </is>
      </c>
      <c r="C7" s="14" t="inlineStr">
        <is>
          <t>Write key concepts + quiz</t>
        </is>
      </c>
      <c r="D7" s="15" t="inlineStr">
        <is>
          <t>Write key concepts + quiz</t>
        </is>
      </c>
      <c r="E7" s="16" t="inlineStr">
        <is>
          <t>Write key concepts + quiz</t>
        </is>
      </c>
      <c r="F7" s="17" t="inlineStr">
        <is>
          <t>Write key concepts + quiz</t>
        </is>
      </c>
      <c r="G7" s="18" t="inlineStr">
        <is>
          <t>Write key concepts + quiz</t>
        </is>
      </c>
      <c r="H7" s="19" t="inlineStr">
        <is>
          <t>Week summary</t>
        </is>
      </c>
      <c r="I7" s="20" t="inlineStr">
        <is>
          <t>Blog/doc a topic</t>
        </is>
      </c>
    </row>
    <row r="8" ht="36" customHeight="1" s="52">
      <c r="A8" s="12" t="inlineStr">
        <is>
          <t>08:00–08:15</t>
        </is>
      </c>
      <c r="B8" s="13" t="inlineStr">
        <is>
          <t>⏸ Break</t>
        </is>
      </c>
      <c r="C8" s="14" t="inlineStr">
        <is>
          <t>—</t>
        </is>
      </c>
      <c r="D8" s="15" t="inlineStr">
        <is>
          <t>—</t>
        </is>
      </c>
      <c r="E8" s="16" t="inlineStr">
        <is>
          <t>—</t>
        </is>
      </c>
      <c r="F8" s="17" t="inlineStr">
        <is>
          <t>—</t>
        </is>
      </c>
      <c r="G8" s="18" t="inlineStr">
        <is>
          <t>—</t>
        </is>
      </c>
      <c r="H8" s="19" t="inlineStr">
        <is>
          <t>—</t>
        </is>
      </c>
      <c r="I8" s="20" t="inlineStr">
        <is>
          <t>—</t>
        </is>
      </c>
    </row>
    <row r="9" ht="36" customHeight="1" s="52">
      <c r="A9" s="12" t="inlineStr">
        <is>
          <t>19:00–20:00</t>
        </is>
      </c>
      <c r="B9" s="13" t="inlineStr">
        <is>
          <t>🔨 Hands-on 1</t>
        </is>
      </c>
      <c r="C9" s="14" t="inlineStr">
        <is>
          <t>Linux lab / Bash + AI script review</t>
        </is>
      </c>
      <c r="D9" s="15" t="inlineStr">
        <is>
          <t>Python / boto3 + AI validation</t>
        </is>
      </c>
      <c r="E9" s="16" t="inlineStr">
        <is>
          <t>Docker build + Snyk AI scan</t>
        </is>
      </c>
      <c r="F9" s="17" t="inlineStr">
        <is>
          <t>Terraform apply + Infracost</t>
        </is>
      </c>
      <c r="G9" s="18" t="inlineStr">
        <is>
          <t>Jenkins / GH Actions + AI YAML</t>
        </is>
      </c>
      <c r="H9" s="19" t="inlineStr">
        <is>
          <t>Project sprint + Copilot assist</t>
        </is>
      </c>
      <c r="I9" s="20" t="inlineStr">
        <is>
          <t>Mock interview + AI prep</t>
        </is>
      </c>
    </row>
    <row r="10" ht="36" customHeight="1" s="52">
      <c r="A10" s="12" t="inlineStr">
        <is>
          <t>20:00–21:30</t>
        </is>
      </c>
      <c r="B10" s="13" t="inlineStr">
        <is>
          <t>🔨 Hands-on 2</t>
        </is>
      </c>
      <c r="C10" s="14" t="inlineStr">
        <is>
          <t>Git workflow + AI commit review</t>
        </is>
      </c>
      <c r="D10" s="15" t="inlineStr">
        <is>
          <t>AI tool lab (Copilot/Claude/Q)</t>
        </is>
      </c>
      <c r="E10" s="16" t="inlineStr">
        <is>
          <t>K8s deploy + Wiz / OPA AI</t>
        </is>
      </c>
      <c r="F10" s="17" t="inlineStr">
        <is>
          <t>AWS console + Amazon Q CLI</t>
        </is>
      </c>
      <c r="G10" s="18" t="inlineStr">
        <is>
          <t>SonarQube / CD + Datadog AI</t>
        </is>
      </c>
      <c r="H10" s="19" t="inlineStr">
        <is>
          <t>Project polish + AI docs</t>
        </is>
      </c>
      <c r="I10" s="20" t="inlineStr">
        <is>
          <t>Apply jobs + AI resume tune</t>
        </is>
      </c>
    </row>
    <row r="11" ht="36" customHeight="1" s="52">
      <c r="A11" s="12" t="inlineStr">
        <is>
          <t>21:30–22:00</t>
        </is>
      </c>
      <c r="B11" s="13" t="inlineStr">
        <is>
          <t>❓ Interview Q</t>
        </is>
      </c>
      <c r="C11" s="14" t="inlineStr">
        <is>
          <t>Linux + Git Q&amp;A</t>
        </is>
      </c>
      <c r="D11" s="15" t="inlineStr">
        <is>
          <t>Scripting Q&amp;A</t>
        </is>
      </c>
      <c r="E11" s="16" t="inlineStr">
        <is>
          <t>Container Q&amp;A</t>
        </is>
      </c>
      <c r="F11" s="17" t="inlineStr">
        <is>
          <t>AWS Q&amp;A</t>
        </is>
      </c>
      <c r="G11" s="18" t="inlineStr">
        <is>
          <t>CI/CD Q&amp;A</t>
        </is>
      </c>
      <c r="H11" s="19" t="inlineStr">
        <is>
          <t>Portfolio review</t>
        </is>
      </c>
      <c r="I11" s="20" t="inlineStr">
        <is>
          <t>Next week plan</t>
        </is>
      </c>
    </row>
    <row r="12" ht="36" customHeight="1" s="52">
      <c r="A12" s="12" t="inlineStr">
        <is>
          <t>22:00–22:15</t>
        </is>
      </c>
      <c r="B12" s="13" t="inlineStr">
        <is>
          <t>📌 Tracker</t>
        </is>
      </c>
      <c r="C12" s="14" t="inlineStr">
        <is>
          <t>Update Study Tracker %</t>
        </is>
      </c>
      <c r="D12" s="15" t="inlineStr">
        <is>
          <t>Update Study Tracker %</t>
        </is>
      </c>
      <c r="E12" s="16" t="inlineStr">
        <is>
          <t>Update Study Tracker %</t>
        </is>
      </c>
      <c r="F12" s="17" t="inlineStr">
        <is>
          <t>Update Study Tracker %</t>
        </is>
      </c>
      <c r="G12" s="18" t="inlineStr">
        <is>
          <t>Update Study Tracker %</t>
        </is>
      </c>
      <c r="H12" s="19" t="inlineStr">
        <is>
          <t>Update all sheets</t>
        </is>
      </c>
      <c r="I12" s="20" t="inlineStr">
        <is>
          <t>Set weekly goals</t>
        </is>
      </c>
    </row>
    <row r="14" ht="27.95" customHeight="1" s="52">
      <c r="A14" s="56" t="inlineStr">
        <is>
          <t>📋  WEEK-BY-WEEK TOPIC ASSIGNMENT (What to study each session each week)</t>
        </is>
      </c>
    </row>
    <row r="15">
      <c r="A15" s="21" t="inlineStr">
        <is>
          <t>Week</t>
        </is>
      </c>
      <c r="B15" s="21" t="inlineStr">
        <is>
          <t>Dates</t>
        </is>
      </c>
      <c r="C15" s="21" t="inlineStr">
        <is>
          <t>Mon Morning</t>
        </is>
      </c>
      <c r="D15" s="21" t="inlineStr">
        <is>
          <t>Tue Morning</t>
        </is>
      </c>
      <c r="E15" s="21" t="inlineStr">
        <is>
          <t>Wed Morning</t>
        </is>
      </c>
      <c r="F15" s="21" t="inlineStr">
        <is>
          <t>Thu Morning</t>
        </is>
      </c>
      <c r="G15" s="21" t="inlineStr">
        <is>
          <t>Fri Morning</t>
        </is>
      </c>
      <c r="H15" s="21" t="inlineStr">
        <is>
          <t>Sat Sprint</t>
        </is>
      </c>
      <c r="I15" s="21" t="inlineStr">
        <is>
          <t>Sun Review</t>
        </is>
      </c>
    </row>
    <row r="16" ht="36" customHeight="1" s="52">
      <c r="A16" s="22" t="n">
        <v>1</v>
      </c>
      <c r="B16" s="23" t="inlineStr">
        <is>
          <t>Mar 20–26</t>
        </is>
      </c>
      <c r="C16" s="23" t="inlineStr">
        <is>
          <t>Linux internals + systemd + AI script gen</t>
        </is>
      </c>
      <c r="D16" s="23" t="inlineStr">
        <is>
          <t>Git advanced + Copilot hooks</t>
        </is>
      </c>
      <c r="E16" s="23" t="inlineStr">
        <is>
          <t>Networking + Amazon Q CLI</t>
        </is>
      </c>
      <c r="F16" s="23" t="inlineStr">
        <is>
          <t>Bash deep + AI code review</t>
        </is>
      </c>
      <c r="G16" s="23" t="inlineStr">
        <is>
          <t>Python DevOps + AI boto3 gen</t>
        </is>
      </c>
      <c r="H16" s="23" t="inlineStr">
        <is>
          <t>Lab: systemd+git+Copilot</t>
        </is>
      </c>
      <c r="I16" s="23" t="inlineStr">
        <is>
          <t>Review + AI Q&amp;A practice</t>
        </is>
      </c>
    </row>
    <row r="17" ht="36" customHeight="1" s="52">
      <c r="A17" s="24" t="n">
        <v>2</v>
      </c>
      <c r="B17" s="25" t="inlineStr">
        <is>
          <t>Mar 27–Apr 2</t>
        </is>
      </c>
      <c r="C17" s="25" t="inlineStr">
        <is>
          <t>Python boto3 + AI validation</t>
        </is>
      </c>
      <c r="D17" s="25" t="inlineStr">
        <is>
          <t>Bash advanced + Claude prompting</t>
        </is>
      </c>
      <c r="E17" s="25" t="inlineStr">
        <is>
          <t>Cron + timers + AI scheduling</t>
        </is>
      </c>
      <c r="F17" s="25" t="inlineStr">
        <is>
          <t>REST API + AI error handling</t>
        </is>
      </c>
      <c r="G17" s="25" t="inlineStr">
        <is>
          <t>AI script lab: Copilot vs manual</t>
        </is>
      </c>
      <c r="H17" s="25" t="inlineStr">
        <is>
          <t>Lab: Python AWS + AI compare</t>
        </is>
      </c>
      <c r="I17" s="25" t="inlineStr">
        <is>
          <t>Review + apply jobs</t>
        </is>
      </c>
    </row>
    <row r="18" ht="36" customHeight="1" s="52">
      <c r="A18" s="22" t="n">
        <v>3</v>
      </c>
      <c r="B18" s="23" t="inlineStr">
        <is>
          <t>Apr 3–9</t>
        </is>
      </c>
      <c r="C18" s="23" t="inlineStr">
        <is>
          <t>Docker multi-stage + Copilot Dockerfile</t>
        </is>
      </c>
      <c r="D18" s="23" t="inlineStr">
        <is>
          <t>Docker + Snyk AI scan + fix</t>
        </is>
      </c>
      <c r="E18" s="23" t="inlineStr">
        <is>
          <t>Compose + AI networking config</t>
        </is>
      </c>
      <c r="F18" s="23" t="inlineStr">
        <is>
          <t>Container security + Wiz/Aqua AI</t>
        </is>
      </c>
      <c r="G18" s="23" t="inlineStr">
        <is>
          <t>Docker best practices + AI review</t>
        </is>
      </c>
      <c r="H18" s="23" t="inlineStr">
        <is>
          <t>Lab: containerize + Snyk scan</t>
        </is>
      </c>
      <c r="I18" s="23" t="inlineStr">
        <is>
          <t>Review + AI Q practice</t>
        </is>
      </c>
    </row>
    <row r="19" ht="36" customHeight="1" s="52">
      <c r="A19" s="24" t="n">
        <v>4</v>
      </c>
      <c r="B19" s="25" t="inlineStr">
        <is>
          <t>Apr 10–16</t>
        </is>
      </c>
      <c r="C19" s="25" t="inlineStr">
        <is>
          <t>Jenkins + AI Jenkinsfile gen</t>
        </is>
      </c>
      <c r="D19" s="25" t="inlineStr">
        <is>
          <t>GitHub Actions + OIDC + AI YAML</t>
        </is>
      </c>
      <c r="E19" s="25" t="inlineStr">
        <is>
          <t>SonarQube + AI quality gates</t>
        </is>
      </c>
      <c r="F19" s="25" t="inlineStr">
        <is>
          <t>Nexus + AI artifact mgmt</t>
        </is>
      </c>
      <c r="G19" s="25" t="inlineStr">
        <is>
          <t>CD patterns + Cursor IDE</t>
        </is>
      </c>
      <c r="H19" s="25" t="inlineStr">
        <is>
          <t>Lab: full CI/CD + AI pipeline</t>
        </is>
      </c>
      <c r="I19" s="25" t="inlineStr">
        <is>
          <t>Review + apply jobs</t>
        </is>
      </c>
    </row>
    <row r="20" ht="36" customHeight="1" s="52">
      <c r="A20" s="22" t="n">
        <v>5</v>
      </c>
      <c r="B20" s="23" t="inlineStr">
        <is>
          <t>Apr 17–23</t>
        </is>
      </c>
      <c r="C20" s="23" t="inlineStr">
        <is>
          <t>K8s architecture + Datadog AI intro</t>
        </is>
      </c>
      <c r="D20" s="23" t="inlineStr">
        <is>
          <t>Pods + Deployments + AIOps alerts</t>
        </is>
      </c>
      <c r="E20" s="23" t="inlineStr">
        <is>
          <t>Services + ConfigMaps + Amazon Q</t>
        </is>
      </c>
      <c r="F20" s="23" t="inlineStr">
        <is>
          <t>Health probes + PagerDuty AIOps</t>
        </is>
      </c>
      <c r="G20" s="23" t="inlineStr">
        <is>
          <t>Rolling updates + AI debug help</t>
        </is>
      </c>
      <c r="H20" s="23" t="inlineStr">
        <is>
          <t>Lab: 3-tier app + AIOps alert</t>
        </is>
      </c>
      <c r="I20" s="23" t="inlineStr">
        <is>
          <t>Review + AI Q practice</t>
        </is>
      </c>
    </row>
    <row r="21" ht="36" customHeight="1" s="52">
      <c r="A21" s="24" t="n">
        <v>6</v>
      </c>
      <c r="B21" s="25" t="inlineStr">
        <is>
          <t>Apr 24–30</t>
        </is>
      </c>
      <c r="C21" s="25" t="inlineStr">
        <is>
          <t>RBAC + ServiceAccounts + Wiz cloud</t>
        </is>
      </c>
      <c r="D21" s="25" t="inlineStr">
        <is>
          <t>Network Policies + OPA + AI rules</t>
        </is>
      </c>
      <c r="E21" s="25" t="inlineStr">
        <is>
          <t>HPA + VPA + Dynatrace Davis</t>
        </is>
      </c>
      <c r="F21" s="25" t="inlineStr">
        <is>
          <t>Helm 3 + AI chart gen</t>
        </is>
      </c>
      <c r="G21" s="25" t="inlineStr">
        <is>
          <t>Ingress + TLS + AI config review</t>
        </is>
      </c>
      <c r="H21" s="25" t="inlineStr">
        <is>
          <t>Lab: Helm+RBAC+Wiz scan</t>
        </is>
      </c>
      <c r="I21" s="25" t="inlineStr">
        <is>
          <t>Review + apply jobs</t>
        </is>
      </c>
    </row>
    <row r="22" ht="36" customHeight="1" s="52">
      <c r="A22" s="22" t="n">
        <v>7</v>
      </c>
      <c r="B22" s="23" t="inlineStr">
        <is>
          <t>May 1–7</t>
        </is>
      </c>
      <c r="C22" s="23" t="inlineStr">
        <is>
          <t>Terraform state + AI module gen</t>
        </is>
      </c>
      <c r="D22" s="23" t="inlineStr">
        <is>
          <t>Modules + Copilot module design</t>
        </is>
      </c>
      <c r="E22" s="23" t="inlineStr">
        <is>
          <t>Dynamic blocks + AI for_each gen</t>
        </is>
      </c>
      <c r="F22" s="23" t="inlineStr">
        <is>
          <t>Atlantis + Infracost AI cost</t>
        </is>
      </c>
      <c r="G22" s="23" t="inlineStr">
        <is>
          <t>Terragrunt + AI DRY patterns</t>
        </is>
      </c>
      <c r="H22" s="23" t="inlineStr">
        <is>
          <t>Lab: Terraform + Infracost</t>
        </is>
      </c>
      <c r="I22" s="23" t="inlineStr">
        <is>
          <t>Review + AI Q practice</t>
        </is>
      </c>
    </row>
    <row r="23" ht="36" customHeight="1" s="52">
      <c r="A23" s="24" t="n">
        <v>8</v>
      </c>
      <c r="B23" s="25" t="inlineStr">
        <is>
          <t>May 8–14</t>
        </is>
      </c>
      <c r="C23" s="25" t="inlineStr">
        <is>
          <t>IAM advanced + IAM Analyzer AI</t>
        </is>
      </c>
      <c r="D23" s="25" t="inlineStr">
        <is>
          <t>VPC + TGW + Amazon Q CLI</t>
        </is>
      </c>
      <c r="E23" s="25" t="inlineStr">
        <is>
          <t>EC2 ASG + DevOps Guru ML</t>
        </is>
      </c>
      <c r="F23" s="25" t="inlineStr">
        <is>
          <t>S3 advanced + AI policy gen</t>
        </is>
      </c>
      <c r="G23" s="25" t="inlineStr">
        <is>
          <t>ALB + WAF + AI rule suggest</t>
        </is>
      </c>
      <c r="H23" s="25" t="inlineStr">
        <is>
          <t>Lab: cross-acct + AI SecOps</t>
        </is>
      </c>
      <c r="I23" s="25" t="inlineStr">
        <is>
          <t>Review + apply jobs</t>
        </is>
      </c>
    </row>
    <row r="24" ht="36" customHeight="1" s="52">
      <c r="A24" s="22" t="n">
        <v>9</v>
      </c>
      <c r="B24" s="23" t="inlineStr">
        <is>
          <t>May 15–21</t>
        </is>
      </c>
      <c r="C24" s="23" t="inlineStr">
        <is>
          <t>EKS via Terraform + Dynatrace AI</t>
        </is>
      </c>
      <c r="D24" s="23" t="inlineStr">
        <is>
          <t>IRSA setup + DevOps Guru</t>
        </is>
      </c>
      <c r="E24" s="23" t="inlineStr">
        <is>
          <t>AWS LB Controller + AI config</t>
        </is>
      </c>
      <c r="F24" s="23" t="inlineStr">
        <is>
          <t>Cluster Autoscaler + AIOps</t>
        </is>
      </c>
      <c r="G24" s="23" t="inlineStr">
        <is>
          <t>ECR scanning + Snyk AI</t>
        </is>
      </c>
      <c r="H24" s="23" t="inlineStr">
        <is>
          <t>Lab: prod EKS + AI monitoring</t>
        </is>
      </c>
      <c r="I24" s="23" t="inlineStr">
        <is>
          <t>Review + AI Q practice</t>
        </is>
      </c>
    </row>
    <row r="25" ht="36" customHeight="1" s="52">
      <c r="A25" s="24" t="n">
        <v>10</v>
      </c>
      <c r="B25" s="25" t="inlineStr">
        <is>
          <t>May 22–28</t>
        </is>
      </c>
      <c r="C25" s="25" t="inlineStr">
        <is>
          <t>RDS Multi-AZ + AI anomaly detect</t>
        </is>
      </c>
      <c r="D25" s="25" t="inlineStr">
        <is>
          <t>Lambda + SQS + AI code gen</t>
        </is>
      </c>
      <c r="E25" s="25" t="inlineStr">
        <is>
          <t>API Gateway + Bedrock LLMOps</t>
        </is>
      </c>
      <c r="F25" s="25" t="inlineStr">
        <is>
          <t>CloudFront + Route 53 + AI</t>
        </is>
      </c>
      <c r="G25" s="25" t="inlineStr">
        <is>
          <t>Secrets Manager + AI scripts</t>
        </is>
      </c>
      <c r="H25" s="25" t="inlineStr">
        <is>
          <t>Lab: event-driven + Bedrock</t>
        </is>
      </c>
      <c r="I25" s="25" t="inlineStr">
        <is>
          <t>Review + apply jobs</t>
        </is>
      </c>
    </row>
    <row r="26" ht="36" customHeight="1" s="52">
      <c r="A26" s="22" t="n">
        <v>11</v>
      </c>
      <c r="B26" s="23" t="inlineStr">
        <is>
          <t>May 29–Jun 4</t>
        </is>
      </c>
      <c r="C26" s="23" t="inlineStr">
        <is>
          <t>CloudWatch + AI log pattern detect</t>
        </is>
      </c>
      <c r="D26" s="23" t="inlineStr">
        <is>
          <t>Prometheus + Grafana + Datadog AI</t>
        </is>
      </c>
      <c r="E26" s="23" t="inlineStr">
        <is>
          <t>SLI/SLO + OTel AI tracing</t>
        </is>
      </c>
      <c r="F26" s="23" t="inlineStr">
        <is>
          <t>Log Insights + NL query AI</t>
        </is>
      </c>
      <c r="G26" s="23" t="inlineStr">
        <is>
          <t>Incident runbooks + AI auto-gen</t>
        </is>
      </c>
      <c r="H26" s="23" t="inlineStr">
        <is>
          <t>Lab: obs stack + AIOps</t>
        </is>
      </c>
      <c r="I26" s="23" t="inlineStr">
        <is>
          <t>Review + AI Q practice</t>
        </is>
      </c>
    </row>
    <row r="27" ht="36" customHeight="1" s="52">
      <c r="A27" s="24" t="n">
        <v>12</v>
      </c>
      <c r="B27" s="25" t="inlineStr">
        <is>
          <t>Jun 5–11</t>
        </is>
      </c>
      <c r="C27" s="25" t="inlineStr">
        <is>
          <t>GuardDuty + Sec Hub + Snyk IaC</t>
        </is>
      </c>
      <c r="D27" s="25" t="inlineStr">
        <is>
          <t>WAF + KMS + AI policy gen</t>
        </is>
      </c>
      <c r="E27" s="25" t="inlineStr">
        <is>
          <t>Falco + AI rules + container sec</t>
        </is>
      </c>
      <c r="F27" s="25" t="inlineStr">
        <is>
          <t>IAM Access Analyzer + AI</t>
        </is>
      </c>
      <c r="G27" s="25" t="inlineStr">
        <is>
          <t>SAST pipeline + AI code review</t>
        </is>
      </c>
      <c r="H27" s="25" t="inlineStr">
        <is>
          <t>Lab: security baseline + AI</t>
        </is>
      </c>
      <c r="I27" s="25" t="inlineStr">
        <is>
          <t>Review + apply jobs</t>
        </is>
      </c>
    </row>
    <row r="28" ht="36" customHeight="1" s="52">
      <c r="A28" s="22" t="n">
        <v>13</v>
      </c>
      <c r="B28" s="23" t="inlineStr">
        <is>
          <t>Jun 12–18</t>
        </is>
      </c>
      <c r="C28" s="23" t="inlineStr">
        <is>
          <t>ArgoCD + AI-generated App YAML</t>
        </is>
      </c>
      <c r="D28" s="23" t="inlineStr">
        <is>
          <t>Argo Rollouts + Claude Code CLI</t>
        </is>
      </c>
      <c r="E28" s="23" t="inlineStr">
        <is>
          <t>External Secrets + AI config gen</t>
        </is>
      </c>
      <c r="F28" s="23" t="inlineStr">
        <is>
          <t>Flux v2 + AI GitOps flow</t>
        </is>
      </c>
      <c r="G28" s="23" t="inlineStr">
        <is>
          <t>GitOps promotion + AI review</t>
        </is>
      </c>
      <c r="H28" s="23" t="inlineStr">
        <is>
          <t>Lab: full GitOps + Claude Code</t>
        </is>
      </c>
      <c r="I28" s="23" t="inlineStr">
        <is>
          <t>Review + AI Q practice</t>
        </is>
      </c>
    </row>
    <row r="29" ht="36" customHeight="1" s="52">
      <c r="A29" s="24" t="n">
        <v>14</v>
      </c>
      <c r="B29" s="25" t="inlineStr">
        <is>
          <t>Jun 19–25</t>
        </is>
      </c>
      <c r="C29" s="25" t="inlineStr">
        <is>
          <t>Cost Explorer + Cost Anomaly Det.</t>
        </is>
      </c>
      <c r="D29" s="25" t="inlineStr">
        <is>
          <t>Spot strategy + Compute Optimizer AI</t>
        </is>
      </c>
      <c r="E29" s="25" t="inlineStr">
        <is>
          <t>AWS Organizations + AI tagging</t>
        </is>
      </c>
      <c r="F29" s="25" t="inlineStr">
        <is>
          <t>SCPs + Config + AI remediation</t>
        </is>
      </c>
      <c r="G29" s="25" t="inlineStr">
        <is>
          <t>Tagging + FinOps AI rightsizing</t>
        </is>
      </c>
      <c r="H29" s="25" t="inlineStr">
        <is>
          <t>Lab: multi-acct + AI cost opt</t>
        </is>
      </c>
      <c r="I29" s="25" t="inlineStr">
        <is>
          <t>Review + apply jobs</t>
        </is>
      </c>
    </row>
    <row r="30" ht="36" customHeight="1" s="52">
      <c r="A30" s="22" t="n">
        <v>15</v>
      </c>
      <c r="B30" s="23" t="inlineStr">
        <is>
          <t>Jun 26–Jul 2</t>
        </is>
      </c>
      <c r="C30" s="23" t="inlineStr">
        <is>
          <t>System design + AI architecture gen</t>
        </is>
      </c>
      <c r="D30" s="23" t="inlineStr">
        <is>
          <t>DR design + AI runbook gen</t>
        </is>
      </c>
      <c r="E30" s="23" t="inlineStr">
        <is>
          <t>Zero-downtime + AI deploy plan</t>
        </is>
      </c>
      <c r="F30" s="23" t="inlineStr">
        <is>
          <t>Microservices + AI ADR writing</t>
        </is>
      </c>
      <c r="G30" s="23" t="inlineStr">
        <is>
          <t>ADR writing + AI critique</t>
        </is>
      </c>
      <c r="H30" s="23" t="inlineStr">
        <is>
          <t>Architecture diagrams + AI docs</t>
        </is>
      </c>
      <c r="I30" s="23" t="inlineStr">
        <is>
          <t>Portfolio polish + AI README</t>
        </is>
      </c>
    </row>
    <row r="31" ht="36" customHeight="1" s="52">
      <c r="A31" s="24" t="n">
        <v>16</v>
      </c>
      <c r="B31" s="25" t="inlineStr">
        <is>
          <t>Jul 3–9</t>
        </is>
      </c>
      <c r="C31" s="25" t="inlineStr">
        <is>
          <t>STAR stories + AI interview prep</t>
        </is>
      </c>
      <c r="D31" s="25" t="inlineStr">
        <is>
          <t>Behavioural mock + AI feedback</t>
        </is>
      </c>
      <c r="E31" s="25" t="inlineStr">
        <is>
          <t>Technical mock 1 + AI review</t>
        </is>
      </c>
      <c r="F31" s="25" t="inlineStr">
        <is>
          <t>Technical mock 2 + AI tools story</t>
        </is>
      </c>
      <c r="G31" s="25" t="inlineStr">
        <is>
          <t>Salary negotiation + AI research</t>
        </is>
      </c>
      <c r="H31" s="25" t="inlineStr">
        <is>
          <t>Final resume + AI LinkedIn opt</t>
        </is>
      </c>
      <c r="I31" s="25" t="inlineStr">
        <is>
          <t>Apply + negotiate + AI assist</t>
        </is>
      </c>
    </row>
    <row r="33">
      <c r="A33" s="65" t="inlineStr">
        <is>
          <t>🤖  AI TOOLS LEGEND — All tools integrated into weekly schedule above</t>
        </is>
      </c>
    </row>
    <row r="34">
      <c r="A34" s="45" t="inlineStr">
        <is>
          <t xml:space="preserve">  ✅  GitHub Copilot / Claude / Cursor</t>
        </is>
      </c>
      <c r="C34" s="62" t="inlineStr">
        <is>
          <t>AI script gen, IaC drafting, code review — daily from Week 1</t>
        </is>
      </c>
    </row>
    <row r="35">
      <c r="A35" s="46" t="inlineStr">
        <is>
          <t xml:space="preserve">  ✅  Amazon Q Developer</t>
        </is>
      </c>
      <c r="C35" s="63" t="inlineStr">
        <is>
          <t>AWS CLI suggestions, IAM policy gen, console AI — Weeks 2, 8</t>
        </is>
      </c>
    </row>
    <row r="36">
      <c r="A36" s="45" t="inlineStr">
        <is>
          <t xml:space="preserve">  ✅  Snyk AI / Trivy AI</t>
        </is>
      </c>
      <c r="C36" s="62" t="inlineStr">
        <is>
          <t>Container + IaC security scanning with AI-prioritised CVE fixes — Weeks 3, 12</t>
        </is>
      </c>
    </row>
    <row r="37">
      <c r="A37" s="46" t="inlineStr">
        <is>
          <t xml:space="preserve">  ✅  Wiz / Aqua Security</t>
        </is>
      </c>
      <c r="C37" s="63" t="inlineStr">
        <is>
          <t>Cloud-native security posture; K8s + AWS misconfig via AI — Weeks 6, 12</t>
        </is>
      </c>
    </row>
    <row r="38">
      <c r="A38" s="45" t="inlineStr">
        <is>
          <t xml:space="preserve">  ✅  Datadog Watchdog AI</t>
        </is>
      </c>
      <c r="C38" s="62" t="inlineStr">
        <is>
          <t>AI anomaly detection, log pattern analysis, NL log queries — Weeks 5, 11</t>
        </is>
      </c>
    </row>
    <row r="39">
      <c r="A39" s="46" t="inlineStr">
        <is>
          <t xml:space="preserve">  ✅  PagerDuty AIOps</t>
        </is>
      </c>
      <c r="C39" s="63" t="inlineStr">
        <is>
          <t>Event correlation, noise reduction, AI incident routing — Week 5</t>
        </is>
      </c>
    </row>
    <row r="40">
      <c r="A40" s="45" t="inlineStr">
        <is>
          <t xml:space="preserve">  ✅  Dynatrace Davis AI</t>
        </is>
      </c>
      <c r="C40" s="62" t="inlineStr">
        <is>
          <t>Root cause AI analysis for EKS + microservices — Weeks 9, 11</t>
        </is>
      </c>
    </row>
    <row r="41">
      <c r="A41" s="46" t="inlineStr">
        <is>
          <t xml:space="preserve">  ✅  AWS DevOps Guru</t>
        </is>
      </c>
      <c r="C41" s="63" t="inlineStr">
        <is>
          <t>ML-powered operational insights for AWS resources — Week 9</t>
        </is>
      </c>
    </row>
    <row r="42">
      <c r="A42" s="45" t="inlineStr">
        <is>
          <t xml:space="preserve">  ✅  AWS Bedrock (LLMOps)</t>
        </is>
      </c>
      <c r="C42" s="62" t="inlineStr">
        <is>
          <t>Model inference API, Lambda + Bedrock integration basics — Week 10</t>
        </is>
      </c>
    </row>
    <row r="43">
      <c r="A43" s="46" t="inlineStr">
        <is>
          <t xml:space="preserve">  ✅  Infracost + AI cost est.</t>
        </is>
      </c>
      <c r="C43" s="63" t="inlineStr">
        <is>
          <t>AI cost estimation for Terraform plans before apply — Week 7</t>
        </is>
      </c>
    </row>
    <row r="44">
      <c r="A44" s="45" t="inlineStr">
        <is>
          <t xml:space="preserve">  ✅  AWS Cost Anomaly Detection</t>
        </is>
      </c>
      <c r="C44" s="62" t="inlineStr">
        <is>
          <t>ML-based budget alerts; Compute Optimizer AI rightsizing — Week 14</t>
        </is>
      </c>
    </row>
    <row r="45">
      <c r="A45" s="46" t="inlineStr">
        <is>
          <t xml:space="preserve">  ✅  Claude Code CLI</t>
        </is>
      </c>
      <c r="C45" s="63" t="inlineStr">
        <is>
          <t>Agentic code edits on Terraform / K8s repos in terminal — Week 13</t>
        </is>
      </c>
    </row>
    <row r="46">
      <c r="A46" s="45" t="inlineStr">
        <is>
          <t xml:space="preserve">  ✅  OPA / Gatekeeper + AI</t>
        </is>
      </c>
      <c r="C46" s="62" t="inlineStr">
        <is>
          <t>Policy-as-code with AI rule gen; K8s admission control — Week 6</t>
        </is>
      </c>
    </row>
    <row r="47">
      <c r="A47" s="46" t="inlineStr">
        <is>
          <t xml:space="preserve">  ✅  IAM Access Analyzer + AI</t>
        </is>
      </c>
      <c r="C47" s="63" t="inlineStr">
        <is>
          <t>AI-generated IAM findings + remediation suggestions — Week 8</t>
        </is>
      </c>
    </row>
  </sheetData>
  <mergeCells count="18">
    <mergeCell ref="C36:I36"/>
    <mergeCell ref="C45:I45"/>
    <mergeCell ref="C44:I44"/>
    <mergeCell ref="A33:I33"/>
    <mergeCell ref="A2:I2"/>
    <mergeCell ref="C40:I40"/>
    <mergeCell ref="C39:I39"/>
    <mergeCell ref="A14:I14"/>
    <mergeCell ref="C35:I35"/>
    <mergeCell ref="A1:I1"/>
    <mergeCell ref="C34:I34"/>
    <mergeCell ref="C43:I43"/>
    <mergeCell ref="C46:I46"/>
    <mergeCell ref="C47:I47"/>
    <mergeCell ref="C38:I38"/>
    <mergeCell ref="C42:I42"/>
    <mergeCell ref="C41:I41"/>
    <mergeCell ref="C37:I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7AE60"/>
    <outlinePr summaryBelow="1" summaryRight="1"/>
    <pageSetUpPr/>
  </sheetPr>
  <dimension ref="A1:M221"/>
  <sheetViews>
    <sheetView workbookViewId="0">
      <pane ySplit="2" topLeftCell="A3" activePane="bottomLeft" state="frozen"/>
      <selection pane="bottomLeft" activeCell="A1" sqref="A1:K1"/>
    </sheetView>
  </sheetViews>
  <sheetFormatPr baseColWidth="8" defaultRowHeight="15"/>
  <cols>
    <col width="12" customWidth="1" style="52" min="1" max="1"/>
    <col width="6" customWidth="1" style="52" min="2" max="3"/>
    <col width="16" customWidth="1" style="52" min="4" max="4"/>
    <col width="22" customWidth="1" style="52" min="5" max="5"/>
    <col width="46" customWidth="1" style="52" min="6" max="6"/>
    <col width="11" customWidth="1" style="52" min="7" max="8"/>
    <col width="13" customWidth="1" style="52" min="9" max="9"/>
    <col width="11" customWidth="1" style="52" min="10" max="10"/>
    <col width="28" customWidth="1" style="52" min="11" max="12"/>
    <col width="22" customWidth="1" style="52" min="13" max="13"/>
  </cols>
  <sheetData>
    <row r="1" ht="32.1" customHeight="1" s="52">
      <c r="A1" s="66" t="inlineStr">
        <is>
          <t>📚  DAILY STUDY TRACKER  —  Fill in Actual Hours &amp; Status every evening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Day</t>
        </is>
      </c>
      <c r="D2" s="1" t="inlineStr">
        <is>
          <t>Category</t>
        </is>
      </c>
      <c r="E2" s="1" t="inlineStr">
        <is>
          <t>Topic</t>
        </is>
      </c>
      <c r="F2" s="1" t="inlineStr">
        <is>
          <t>Subtopic / Lab Task</t>
        </is>
      </c>
      <c r="G2" s="1" t="inlineStr">
        <is>
          <t>Planned Hrs</t>
        </is>
      </c>
      <c r="H2" s="1" t="inlineStr">
        <is>
          <t>Actual Hrs</t>
        </is>
      </c>
      <c r="I2" s="1" t="inlineStr">
        <is>
          <t>Status</t>
        </is>
      </c>
      <c r="J2" s="1" t="inlineStr">
        <is>
          <t>% Complete</t>
        </is>
      </c>
      <c r="K2" s="1" t="inlineStr">
        <is>
          <t>GitHub/Evidence Link</t>
        </is>
      </c>
      <c r="L2" s="1" t="inlineStr">
        <is>
          <t>Interview Q Practiced</t>
        </is>
      </c>
      <c r="M2" s="1" t="inlineStr">
        <is>
          <t>Notes</t>
        </is>
      </c>
    </row>
    <row r="3">
      <c r="A3" s="26" t="inlineStr">
        <is>
          <t>2026-03-20</t>
        </is>
      </c>
      <c r="B3" s="26" t="n">
        <v>1</v>
      </c>
      <c r="C3" s="26" t="inlineStr">
        <is>
          <t>Fri</t>
        </is>
      </c>
      <c r="D3" s="26" t="inlineStr">
        <is>
          <t>Linux</t>
        </is>
      </c>
      <c r="E3" s="26" t="inlineStr">
        <is>
          <t>Linux Internals</t>
        </is>
      </c>
      <c r="F3" s="3" t="inlineStr">
        <is>
          <t>cgroups, namespaces, systemd units deep dive</t>
        </is>
      </c>
      <c r="G3" s="26" t="n">
        <v>1.5</v>
      </c>
      <c r="H3" s="26" t="n">
        <v>1.5</v>
      </c>
      <c r="I3" s="26" t="inlineStr">
        <is>
          <t>Not started</t>
        </is>
      </c>
      <c r="J3" s="26" t="n">
        <v>0</v>
      </c>
      <c r="K3" s="26" t="n"/>
      <c r="L3" s="26" t="n"/>
      <c r="M3" s="26" t="n"/>
    </row>
    <row r="4">
      <c r="A4" s="27" t="inlineStr">
        <is>
          <t>2026-03-20</t>
        </is>
      </c>
      <c r="B4" s="27" t="n">
        <v>1</v>
      </c>
      <c r="C4" s="27" t="inlineStr">
        <is>
          <t>Fri</t>
        </is>
      </c>
      <c r="D4" s="27" t="inlineStr">
        <is>
          <t>Linux</t>
        </is>
      </c>
      <c r="E4" s="27" t="inlineStr">
        <is>
          <t>Linux Hands-on</t>
        </is>
      </c>
      <c r="F4" s="28" t="inlineStr">
        <is>
          <t>Write 2 systemd service units; journal log analysis</t>
        </is>
      </c>
      <c r="G4" s="27" t="n">
        <v>1.5</v>
      </c>
      <c r="H4" s="27" t="n">
        <v>1.5</v>
      </c>
      <c r="I4" s="27" t="inlineStr">
        <is>
          <t>Not started</t>
        </is>
      </c>
      <c r="J4" s="27" t="n">
        <v>0</v>
      </c>
      <c r="K4" s="27" t="n"/>
      <c r="L4" s="27" t="n"/>
      <c r="M4" s="27" t="n"/>
    </row>
    <row r="5">
      <c r="A5" s="26" t="inlineStr">
        <is>
          <t>2026-03-21</t>
        </is>
      </c>
      <c r="B5" s="26" t="n">
        <v>1</v>
      </c>
      <c r="C5" s="26" t="inlineStr">
        <is>
          <t>Sat</t>
        </is>
      </c>
      <c r="D5" s="26" t="inlineStr">
        <is>
          <t>Git</t>
        </is>
      </c>
      <c r="E5" s="26" t="inlineStr">
        <is>
          <t>Git Advanced</t>
        </is>
      </c>
      <c r="F5" s="3" t="inlineStr">
        <is>
          <t>Rebase interactive, cherry-pick, bisect, reflog</t>
        </is>
      </c>
      <c r="G5" s="26" t="n">
        <v>2</v>
      </c>
      <c r="H5" s="26" t="n">
        <v>2</v>
      </c>
      <c r="I5" s="26" t="inlineStr">
        <is>
          <t>Not started</t>
        </is>
      </c>
      <c r="J5" s="26" t="n">
        <v>0</v>
      </c>
      <c r="K5" s="26" t="n"/>
      <c r="L5" s="26" t="n"/>
      <c r="M5" s="26" t="n"/>
    </row>
    <row r="6">
      <c r="A6" s="27" t="inlineStr">
        <is>
          <t>2026-03-21</t>
        </is>
      </c>
      <c r="B6" s="27" t="n">
        <v>1</v>
      </c>
      <c r="C6" s="27" t="inlineStr">
        <is>
          <t>Sat</t>
        </is>
      </c>
      <c r="D6" s="27" t="inlineStr">
        <is>
          <t>Networking</t>
        </is>
      </c>
      <c r="E6" s="27" t="inlineStr">
        <is>
          <t>Networking</t>
        </is>
      </c>
      <c r="F6" s="28" t="inlineStr">
        <is>
          <t>DNS deep dive, iptables rules, tcpdump capture</t>
        </is>
      </c>
      <c r="G6" s="27" t="n">
        <v>2</v>
      </c>
      <c r="H6" s="27" t="n">
        <v>2</v>
      </c>
      <c r="I6" s="27" t="inlineStr">
        <is>
          <t>Not started</t>
        </is>
      </c>
      <c r="J6" s="27" t="n">
        <v>0</v>
      </c>
      <c r="K6" s="27" t="n"/>
      <c r="L6" s="27" t="n"/>
      <c r="M6" s="27" t="n"/>
    </row>
    <row r="7">
      <c r="A7" s="26" t="inlineStr">
        <is>
          <t>2026-03-22</t>
        </is>
      </c>
      <c r="B7" s="26" t="n">
        <v>1</v>
      </c>
      <c r="C7" s="26" t="inlineStr">
        <is>
          <t>Sun</t>
        </is>
      </c>
      <c r="D7" s="26" t="inlineStr">
        <is>
          <t>Linux</t>
        </is>
      </c>
      <c r="E7" s="26" t="inlineStr">
        <is>
          <t>Linux Review</t>
        </is>
      </c>
      <c r="F7" s="3" t="inlineStr">
        <is>
          <t>Review notes + 10 interview Qs; plan Week 2</t>
        </is>
      </c>
      <c r="G7" s="26" t="n">
        <v>1</v>
      </c>
      <c r="H7" s="26" t="n">
        <v>1</v>
      </c>
      <c r="I7" s="26" t="inlineStr">
        <is>
          <t>Not started</t>
        </is>
      </c>
      <c r="J7" s="26" t="n">
        <v>0</v>
      </c>
      <c r="K7" s="26" t="n"/>
      <c r="L7" s="26" t="n"/>
      <c r="M7" s="26" t="n"/>
    </row>
    <row r="8">
      <c r="A8" s="27" t="inlineStr">
        <is>
          <t>2026-03-23</t>
        </is>
      </c>
      <c r="B8" s="27" t="n">
        <v>1</v>
      </c>
      <c r="C8" s="27" t="inlineStr">
        <is>
          <t>Mon</t>
        </is>
      </c>
      <c r="D8" s="27" t="inlineStr">
        <is>
          <t>Linux</t>
        </is>
      </c>
      <c r="E8" s="27" t="inlineStr">
        <is>
          <t>Linux Advanced</t>
        </is>
      </c>
      <c r="F8" s="28" t="inlineStr">
        <is>
          <t>Process scheduling, /proc fs, file descriptors</t>
        </is>
      </c>
      <c r="G8" s="27" t="n">
        <v>1.5</v>
      </c>
      <c r="H8" s="27" t="n"/>
      <c r="I8" s="27" t="inlineStr">
        <is>
          <t>Not started</t>
        </is>
      </c>
      <c r="J8" s="27" t="n">
        <v>0</v>
      </c>
      <c r="K8" s="27" t="n"/>
      <c r="L8" s="27" t="n"/>
      <c r="M8" s="27" t="n"/>
    </row>
    <row r="9">
      <c r="A9" s="26" t="inlineStr">
        <is>
          <t>2026-03-23</t>
        </is>
      </c>
      <c r="B9" s="26" t="n">
        <v>1</v>
      </c>
      <c r="C9" s="26" t="inlineStr">
        <is>
          <t>Mon</t>
        </is>
      </c>
      <c r="D9" s="26" t="inlineStr">
        <is>
          <t>Linux</t>
        </is>
      </c>
      <c r="E9" s="26" t="inlineStr">
        <is>
          <t>Lab</t>
        </is>
      </c>
      <c r="F9" s="3" t="inlineStr">
        <is>
          <t>Troubleshoot broken systemd service; script automation</t>
        </is>
      </c>
      <c r="G9" s="26" t="n">
        <v>1.5</v>
      </c>
      <c r="H9" s="26" t="n"/>
      <c r="I9" s="26" t="inlineStr">
        <is>
          <t>Not started</t>
        </is>
      </c>
      <c r="J9" s="26" t="n">
        <v>0</v>
      </c>
      <c r="K9" s="26" t="n"/>
      <c r="L9" s="26" t="n"/>
      <c r="M9" s="26" t="n"/>
    </row>
    <row r="10" ht="24" customHeight="1" s="52">
      <c r="A10" s="27" t="inlineStr">
        <is>
          <t>2026-03-24</t>
        </is>
      </c>
      <c r="B10" s="27" t="n">
        <v>1</v>
      </c>
      <c r="C10" s="27" t="inlineStr">
        <is>
          <t>Tue</t>
        </is>
      </c>
      <c r="D10" s="27" t="inlineStr">
        <is>
          <t>Git</t>
        </is>
      </c>
      <c r="E10" s="27" t="inlineStr">
        <is>
          <t>Git Hooks</t>
        </is>
      </c>
      <c r="F10" s="28" t="inlineStr">
        <is>
          <t>Pre-commit, post-merge hooks; GitHub branch protection</t>
        </is>
      </c>
      <c r="G10" s="27" t="n">
        <v>1.5</v>
      </c>
      <c r="H10" s="27" t="n"/>
      <c r="I10" s="27" t="inlineStr">
        <is>
          <t>Not started</t>
        </is>
      </c>
      <c r="J10" s="27" t="n">
        <v>0</v>
      </c>
      <c r="K10" s="27" t="n"/>
      <c r="L10" s="27" t="n"/>
      <c r="M10" s="27" t="n"/>
    </row>
    <row r="11">
      <c r="A11" s="26" t="inlineStr">
        <is>
          <t>2026-03-24</t>
        </is>
      </c>
      <c r="B11" s="26" t="n">
        <v>1</v>
      </c>
      <c r="C11" s="26" t="inlineStr">
        <is>
          <t>Tue</t>
        </is>
      </c>
      <c r="D11" s="26" t="inlineStr">
        <is>
          <t>Networking</t>
        </is>
      </c>
      <c r="E11" s="26" t="inlineStr">
        <is>
          <t>TLS/SSL</t>
        </is>
      </c>
      <c r="F11" s="3" t="inlineStr">
        <is>
          <t>Certificate chain, openssl commands, HTTPS internals</t>
        </is>
      </c>
      <c r="G11" s="26" t="n">
        <v>1.5</v>
      </c>
      <c r="H11" s="26" t="n"/>
      <c r="I11" s="26" t="inlineStr">
        <is>
          <t>Not started</t>
        </is>
      </c>
      <c r="J11" s="26" t="n">
        <v>0</v>
      </c>
      <c r="K11" s="26" t="n"/>
      <c r="L11" s="26" t="n"/>
      <c r="M11" s="26" t="n"/>
    </row>
    <row r="12">
      <c r="A12" s="27" t="inlineStr">
        <is>
          <t>2026-03-25</t>
        </is>
      </c>
      <c r="B12" s="27" t="n">
        <v>1</v>
      </c>
      <c r="C12" s="27" t="inlineStr">
        <is>
          <t>Wed</t>
        </is>
      </c>
      <c r="D12" s="27" t="inlineStr">
        <is>
          <t>Networking</t>
        </is>
      </c>
      <c r="E12" s="27" t="inlineStr">
        <is>
          <t>Networking Lab</t>
        </is>
      </c>
      <c r="F12" s="28" t="inlineStr">
        <is>
          <t>Configure iptables; trace a TCP connection end-to-end</t>
        </is>
      </c>
      <c r="G12" s="27" t="n">
        <v>1.5</v>
      </c>
      <c r="H12" s="27" t="n"/>
      <c r="I12" s="27" t="inlineStr">
        <is>
          <t>Not started</t>
        </is>
      </c>
      <c r="J12" s="27" t="n">
        <v>0</v>
      </c>
      <c r="K12" s="27" t="n"/>
      <c r="L12" s="27" t="n"/>
      <c r="M12" s="27" t="n"/>
    </row>
    <row r="13">
      <c r="A13" s="26" t="inlineStr">
        <is>
          <t>2026-03-25</t>
        </is>
      </c>
      <c r="B13" s="26" t="n">
        <v>1</v>
      </c>
      <c r="C13" s="26" t="inlineStr">
        <is>
          <t>Wed</t>
        </is>
      </c>
      <c r="D13" s="26" t="inlineStr">
        <is>
          <t>Scripting</t>
        </is>
      </c>
      <c r="E13" s="26" t="inlineStr">
        <is>
          <t>Bash Basics</t>
        </is>
      </c>
      <c r="F13" s="3" t="inlineStr">
        <is>
          <t>Bash functions, error handling, trap, getopts</t>
        </is>
      </c>
      <c r="G13" s="26" t="n">
        <v>1.5</v>
      </c>
      <c r="H13" s="26" t="n"/>
      <c r="I13" s="26" t="inlineStr">
        <is>
          <t>Not started</t>
        </is>
      </c>
      <c r="J13" s="26" t="n">
        <v>0</v>
      </c>
      <c r="K13" s="26" t="n"/>
      <c r="L13" s="26" t="n"/>
      <c r="M13" s="26" t="n"/>
    </row>
    <row r="14">
      <c r="A14" s="27" t="inlineStr">
        <is>
          <t>2026-03-26</t>
        </is>
      </c>
      <c r="B14" s="27" t="n">
        <v>1</v>
      </c>
      <c r="C14" s="27" t="inlineStr">
        <is>
          <t>Thu</t>
        </is>
      </c>
      <c r="D14" s="27" t="inlineStr">
        <is>
          <t>Scripting</t>
        </is>
      </c>
      <c r="E14" s="27" t="inlineStr">
        <is>
          <t>Bash Lab</t>
        </is>
      </c>
      <c r="F14" s="28" t="inlineStr">
        <is>
          <t>Backup script with rotate+logging+email alert</t>
        </is>
      </c>
      <c r="G14" s="27" t="n">
        <v>2</v>
      </c>
      <c r="H14" s="27" t="n"/>
      <c r="I14" s="27" t="inlineStr">
        <is>
          <t>Not started</t>
        </is>
      </c>
      <c r="J14" s="27" t="n">
        <v>0</v>
      </c>
      <c r="K14" s="27" t="n"/>
      <c r="L14" s="27" t="n"/>
      <c r="M14" s="27" t="n"/>
    </row>
    <row r="15">
      <c r="A15" s="26" t="inlineStr">
        <is>
          <t>2026-03-26</t>
        </is>
      </c>
      <c r="B15" s="26" t="n">
        <v>1</v>
      </c>
      <c r="C15" s="26" t="inlineStr">
        <is>
          <t>Thu</t>
        </is>
      </c>
      <c r="D15" s="26" t="inlineStr">
        <is>
          <t>Interview Prep</t>
        </is>
      </c>
      <c r="E15" s="26" t="inlineStr">
        <is>
          <t>W1 Q&amp;A Drill</t>
        </is>
      </c>
      <c r="F15" s="3" t="inlineStr">
        <is>
          <t>Linux + Git + Networking interview questions x20</t>
        </is>
      </c>
      <c r="G15" s="26" t="n">
        <v>1</v>
      </c>
      <c r="H15" s="26" t="n"/>
      <c r="I15" s="26" t="inlineStr">
        <is>
          <t>Not started</t>
        </is>
      </c>
      <c r="J15" s="26" t="n">
        <v>0</v>
      </c>
      <c r="K15" s="26" t="n"/>
      <c r="L15" s="26" t="n"/>
      <c r="M15" s="26" t="n"/>
    </row>
    <row r="16" ht="24" customHeight="1" s="52">
      <c r="A16" s="27" t="inlineStr">
        <is>
          <t>2026-03-27</t>
        </is>
      </c>
      <c r="B16" s="27" t="n">
        <v>2</v>
      </c>
      <c r="C16" s="27" t="inlineStr">
        <is>
          <t>Fri</t>
        </is>
      </c>
      <c r="D16" s="27" t="inlineStr">
        <is>
          <t>Scripting</t>
        </is>
      </c>
      <c r="E16" s="27" t="inlineStr">
        <is>
          <t>Python DevOps</t>
        </is>
      </c>
      <c r="F16" s="28" t="inlineStr">
        <is>
          <t>argparse, subprocess, os, shutil; Python project structure</t>
        </is>
      </c>
      <c r="G16" s="27" t="n">
        <v>1.5</v>
      </c>
      <c r="H16" s="27" t="n"/>
      <c r="I16" s="27" t="inlineStr">
        <is>
          <t>Not started</t>
        </is>
      </c>
      <c r="J16" s="27" t="n">
        <v>0</v>
      </c>
      <c r="K16" s="27" t="n"/>
      <c r="L16" s="27" t="n"/>
      <c r="M16" s="27" t="n"/>
    </row>
    <row r="17">
      <c r="A17" s="26" t="inlineStr">
        <is>
          <t>2026-03-27</t>
        </is>
      </c>
      <c r="B17" s="26" t="n">
        <v>2</v>
      </c>
      <c r="C17" s="26" t="inlineStr">
        <is>
          <t>Fri</t>
        </is>
      </c>
      <c r="D17" s="26" t="inlineStr">
        <is>
          <t>Scripting</t>
        </is>
      </c>
      <c r="E17" s="26" t="inlineStr">
        <is>
          <t>Python Lab</t>
        </is>
      </c>
      <c r="F17" s="3" t="inlineStr">
        <is>
          <t>Python script to monitor disk + send alert via SNS</t>
        </is>
      </c>
      <c r="G17" s="26" t="n">
        <v>1.5</v>
      </c>
      <c r="H17" s="26" t="n"/>
      <c r="I17" s="26" t="inlineStr">
        <is>
          <t>Not started</t>
        </is>
      </c>
      <c r="J17" s="26" t="n">
        <v>0</v>
      </c>
      <c r="K17" s="26" t="n"/>
      <c r="L17" s="26" t="n"/>
      <c r="M17" s="26" t="n"/>
    </row>
    <row r="18">
      <c r="A18" s="27" t="inlineStr">
        <is>
          <t>2026-03-28</t>
        </is>
      </c>
      <c r="B18" s="27" t="n">
        <v>2</v>
      </c>
      <c r="C18" s="27" t="inlineStr">
        <is>
          <t>Sat</t>
        </is>
      </c>
      <c r="D18" s="27" t="inlineStr">
        <is>
          <t>Scripting</t>
        </is>
      </c>
      <c r="E18" s="27" t="inlineStr">
        <is>
          <t>boto3 Deep Dive</t>
        </is>
      </c>
      <c r="F18" s="28" t="inlineStr">
        <is>
          <t>boto3: EC2, S3, IAM, CloudWatch APIs; pagination</t>
        </is>
      </c>
      <c r="G18" s="27" t="n">
        <v>2</v>
      </c>
      <c r="H18" s="27" t="n"/>
      <c r="I18" s="27" t="inlineStr">
        <is>
          <t>Not started</t>
        </is>
      </c>
      <c r="J18" s="27" t="n">
        <v>0</v>
      </c>
      <c r="K18" s="27" t="n"/>
      <c r="L18" s="27" t="n"/>
      <c r="M18" s="27" t="n"/>
    </row>
    <row r="19" ht="24" customHeight="1" s="52">
      <c r="A19" s="26" t="inlineStr">
        <is>
          <t>2026-03-28</t>
        </is>
      </c>
      <c r="B19" s="26" t="n">
        <v>2</v>
      </c>
      <c r="C19" s="26" t="inlineStr">
        <is>
          <t>Sat</t>
        </is>
      </c>
      <c r="D19" s="26" t="inlineStr">
        <is>
          <t>Scripting</t>
        </is>
      </c>
      <c r="E19" s="26" t="inlineStr">
        <is>
          <t>boto3 Lab</t>
        </is>
      </c>
      <c r="F19" s="3" t="inlineStr">
        <is>
          <t>Python: auto-tag untagged AWS resources; list+stop idle EC2</t>
        </is>
      </c>
      <c r="G19" s="26" t="n">
        <v>2</v>
      </c>
      <c r="H19" s="26" t="n"/>
      <c r="I19" s="26" t="inlineStr">
        <is>
          <t>Not started</t>
        </is>
      </c>
      <c r="J19" s="26" t="n">
        <v>0</v>
      </c>
      <c r="K19" s="26" t="n"/>
      <c r="L19" s="26" t="n"/>
      <c r="M19" s="26" t="n"/>
    </row>
    <row r="20">
      <c r="A20" s="27" t="inlineStr">
        <is>
          <t>2026-03-29</t>
        </is>
      </c>
      <c r="B20" s="27" t="n">
        <v>2</v>
      </c>
      <c r="C20" s="27" t="inlineStr">
        <is>
          <t>Sun</t>
        </is>
      </c>
      <c r="D20" s="27" t="inlineStr">
        <is>
          <t>Scripting</t>
        </is>
      </c>
      <c r="E20" s="27" t="inlineStr">
        <is>
          <t>Review + Apply</t>
        </is>
      </c>
      <c r="F20" s="28" t="inlineStr">
        <is>
          <t>Notes review; apply to 5 jobs; plan Week 3</t>
        </is>
      </c>
      <c r="G20" s="27" t="n">
        <v>1.5</v>
      </c>
      <c r="H20" s="27" t="n"/>
      <c r="I20" s="27" t="inlineStr">
        <is>
          <t>Not started</t>
        </is>
      </c>
      <c r="J20" s="27" t="n">
        <v>0</v>
      </c>
      <c r="K20" s="27" t="n"/>
      <c r="L20" s="27" t="n"/>
      <c r="M20" s="27" t="n"/>
    </row>
    <row r="21">
      <c r="A21" s="26" t="inlineStr">
        <is>
          <t>2026-03-30</t>
        </is>
      </c>
      <c r="B21" s="26" t="n">
        <v>2</v>
      </c>
      <c r="C21" s="26" t="inlineStr">
        <is>
          <t>Mon</t>
        </is>
      </c>
      <c r="D21" s="26" t="inlineStr">
        <is>
          <t>Scripting</t>
        </is>
      </c>
      <c r="E21" s="26" t="inlineStr">
        <is>
          <t>Bash Advanced</t>
        </is>
      </c>
      <c r="F21" s="3" t="inlineStr">
        <is>
          <t>Heredoc, process substitution, parallel execution, jq</t>
        </is>
      </c>
      <c r="G21" s="26" t="n">
        <v>1.5</v>
      </c>
      <c r="H21" s="26" t="n"/>
      <c r="I21" s="26" t="inlineStr">
        <is>
          <t>Not started</t>
        </is>
      </c>
      <c r="J21" s="26" t="n">
        <v>0</v>
      </c>
      <c r="K21" s="26" t="n"/>
      <c r="L21" s="26" t="n"/>
      <c r="M21" s="26" t="n"/>
    </row>
    <row r="22">
      <c r="A22" s="27" t="inlineStr">
        <is>
          <t>2026-03-30</t>
        </is>
      </c>
      <c r="B22" s="27" t="n">
        <v>2</v>
      </c>
      <c r="C22" s="27" t="inlineStr">
        <is>
          <t>Mon</t>
        </is>
      </c>
      <c r="D22" s="27" t="inlineStr">
        <is>
          <t>Scripting</t>
        </is>
      </c>
      <c r="E22" s="27" t="inlineStr">
        <is>
          <t>Bash Lab</t>
        </is>
      </c>
      <c r="F22" s="28" t="inlineStr">
        <is>
          <t>Multi-server deploy script with SSH + error handling</t>
        </is>
      </c>
      <c r="G22" s="27" t="n">
        <v>1.5</v>
      </c>
      <c r="H22" s="27" t="n"/>
      <c r="I22" s="27" t="inlineStr">
        <is>
          <t>Not started</t>
        </is>
      </c>
      <c r="J22" s="27" t="n">
        <v>0</v>
      </c>
      <c r="K22" s="27" t="n"/>
      <c r="L22" s="27" t="n"/>
      <c r="M22" s="27" t="n"/>
    </row>
    <row r="23">
      <c r="A23" s="26" t="inlineStr">
        <is>
          <t>2026-03-31</t>
        </is>
      </c>
      <c r="B23" s="26" t="n">
        <v>2</v>
      </c>
      <c r="C23" s="26" t="inlineStr">
        <is>
          <t>Tue</t>
        </is>
      </c>
      <c r="D23" s="26" t="inlineStr">
        <is>
          <t>Scripting</t>
        </is>
      </c>
      <c r="E23" s="26" t="inlineStr">
        <is>
          <t>Python REST APIs</t>
        </is>
      </c>
      <c r="F23" s="3" t="inlineStr">
        <is>
          <t>requests lib; call AWS APIs; parse JSON; retry logic</t>
        </is>
      </c>
      <c r="G23" s="26" t="n">
        <v>1.5</v>
      </c>
      <c r="H23" s="26" t="n"/>
      <c r="I23" s="26" t="inlineStr">
        <is>
          <t>Not started</t>
        </is>
      </c>
      <c r="J23" s="26" t="n">
        <v>0</v>
      </c>
      <c r="K23" s="26" t="n"/>
      <c r="L23" s="26" t="n"/>
      <c r="M23" s="26" t="n"/>
    </row>
    <row r="24" ht="24" customHeight="1" s="52">
      <c r="A24" s="27" t="inlineStr">
        <is>
          <t>2026-03-31</t>
        </is>
      </c>
      <c r="B24" s="27" t="n">
        <v>2</v>
      </c>
      <c r="C24" s="27" t="inlineStr">
        <is>
          <t>Tue</t>
        </is>
      </c>
      <c r="D24" s="27" t="inlineStr">
        <is>
          <t>Scripting</t>
        </is>
      </c>
      <c r="E24" s="27" t="inlineStr">
        <is>
          <t>Python Lab</t>
        </is>
      </c>
      <c r="F24" s="28" t="inlineStr">
        <is>
          <t>Script: pull CloudWatch metrics and generate CSV report</t>
        </is>
      </c>
      <c r="G24" s="27" t="n">
        <v>1.5</v>
      </c>
      <c r="H24" s="27" t="n"/>
      <c r="I24" s="27" t="inlineStr">
        <is>
          <t>Not started</t>
        </is>
      </c>
      <c r="J24" s="27" t="n">
        <v>0</v>
      </c>
      <c r="K24" s="27" t="n"/>
      <c r="L24" s="27" t="n"/>
      <c r="M24" s="27" t="n"/>
    </row>
    <row r="25">
      <c r="A25" s="26" t="inlineStr">
        <is>
          <t>2026-04-01</t>
        </is>
      </c>
      <c r="B25" s="26" t="n">
        <v>2</v>
      </c>
      <c r="C25" s="26" t="inlineStr">
        <is>
          <t>Wed</t>
        </is>
      </c>
      <c r="D25" s="26" t="inlineStr">
        <is>
          <t>Scripting</t>
        </is>
      </c>
      <c r="E25" s="26" t="inlineStr">
        <is>
          <t>Cron + Timers</t>
        </is>
      </c>
      <c r="F25" s="3" t="inlineStr">
        <is>
          <t>Cron syntax; systemd timers; schedule Python jobs</t>
        </is>
      </c>
      <c r="G25" s="26" t="n">
        <v>1.5</v>
      </c>
      <c r="H25" s="26" t="n"/>
      <c r="I25" s="26" t="inlineStr">
        <is>
          <t>Not started</t>
        </is>
      </c>
      <c r="J25" s="26" t="n">
        <v>0</v>
      </c>
      <c r="K25" s="26" t="n"/>
      <c r="L25" s="26" t="n"/>
      <c r="M25" s="26" t="n"/>
    </row>
    <row r="26">
      <c r="A26" s="27" t="inlineStr">
        <is>
          <t>2026-04-01</t>
        </is>
      </c>
      <c r="B26" s="27" t="n">
        <v>2</v>
      </c>
      <c r="C26" s="27" t="inlineStr">
        <is>
          <t>Wed</t>
        </is>
      </c>
      <c r="D26" s="27" t="inlineStr">
        <is>
          <t>Interview Prep</t>
        </is>
      </c>
      <c r="E26" s="27" t="inlineStr">
        <is>
          <t>Scripting Q&amp;A</t>
        </is>
      </c>
      <c r="F26" s="28" t="inlineStr">
        <is>
          <t>Scripting interview questions + live code drill</t>
        </is>
      </c>
      <c r="G26" s="27" t="n">
        <v>1.5</v>
      </c>
      <c r="H26" s="27" t="n"/>
      <c r="I26" s="27" t="inlineStr">
        <is>
          <t>Not started</t>
        </is>
      </c>
      <c r="J26" s="27" t="n">
        <v>0</v>
      </c>
      <c r="K26" s="27" t="n"/>
      <c r="L26" s="27" t="n"/>
      <c r="M26" s="27" t="n"/>
    </row>
    <row r="27">
      <c r="A27" s="26" t="inlineStr">
        <is>
          <t>2026-04-02</t>
        </is>
      </c>
      <c r="B27" s="26" t="n">
        <v>2</v>
      </c>
      <c r="C27" s="26" t="inlineStr">
        <is>
          <t>Thu</t>
        </is>
      </c>
      <c r="D27" s="26" t="inlineStr">
        <is>
          <t>Scripting</t>
        </is>
      </c>
      <c r="E27" s="26" t="inlineStr">
        <is>
          <t>Scripting Lab</t>
        </is>
      </c>
      <c r="F27" s="3" t="inlineStr">
        <is>
          <t>End-to-end: Python pipeline script; push results to S3</t>
        </is>
      </c>
      <c r="G27" s="26" t="n">
        <v>2</v>
      </c>
      <c r="H27" s="26" t="n"/>
      <c r="I27" s="26" t="inlineStr">
        <is>
          <t>Not started</t>
        </is>
      </c>
      <c r="J27" s="26" t="n">
        <v>0</v>
      </c>
      <c r="K27" s="26" t="n"/>
      <c r="L27" s="26" t="n"/>
      <c r="M27" s="26" t="n"/>
    </row>
    <row r="28">
      <c r="A28" s="27" t="inlineStr">
        <is>
          <t>2026-04-03</t>
        </is>
      </c>
      <c r="B28" s="27" t="n">
        <v>3</v>
      </c>
      <c r="C28" s="27" t="inlineStr">
        <is>
          <t>Fri</t>
        </is>
      </c>
      <c r="D28" s="27" t="inlineStr">
        <is>
          <t>Docker</t>
        </is>
      </c>
      <c r="E28" s="27" t="inlineStr">
        <is>
          <t>Docker Multi-stage</t>
        </is>
      </c>
      <c r="F28" s="28" t="inlineStr">
        <is>
          <t>Multi-stage Dockerfile; BuildKit; .dockerignore</t>
        </is>
      </c>
      <c r="G28" s="27" t="n">
        <v>1.5</v>
      </c>
      <c r="H28" s="27" t="n"/>
      <c r="I28" s="27" t="inlineStr">
        <is>
          <t>Not started</t>
        </is>
      </c>
      <c r="J28" s="27" t="n">
        <v>0</v>
      </c>
      <c r="K28" s="27" t="n"/>
      <c r="L28" s="27" t="n"/>
      <c r="M28" s="27" t="n"/>
    </row>
    <row r="29">
      <c r="A29" s="26" t="inlineStr">
        <is>
          <t>2026-04-03</t>
        </is>
      </c>
      <c r="B29" s="26" t="n">
        <v>3</v>
      </c>
      <c r="C29" s="26" t="inlineStr">
        <is>
          <t>Fri</t>
        </is>
      </c>
      <c r="D29" s="26" t="inlineStr">
        <is>
          <t>Docker</t>
        </is>
      </c>
      <c r="E29" s="26" t="inlineStr">
        <is>
          <t>Docker Lab</t>
        </is>
      </c>
      <c r="F29" s="3" t="inlineStr">
        <is>
          <t>Build Java app multi-stage; compare image sizes</t>
        </is>
      </c>
      <c r="G29" s="26" t="n">
        <v>1.5</v>
      </c>
      <c r="H29" s="26" t="n"/>
      <c r="I29" s="26" t="inlineStr">
        <is>
          <t>Not started</t>
        </is>
      </c>
      <c r="J29" s="26" t="n">
        <v>0</v>
      </c>
      <c r="K29" s="26" t="n"/>
      <c r="L29" s="26" t="n"/>
      <c r="M29" s="26" t="n"/>
    </row>
    <row r="30">
      <c r="A30" s="27" t="inlineStr">
        <is>
          <t>2026-04-04</t>
        </is>
      </c>
      <c r="B30" s="27" t="n">
        <v>3</v>
      </c>
      <c r="C30" s="27" t="inlineStr">
        <is>
          <t>Sat</t>
        </is>
      </c>
      <c r="D30" s="27" t="inlineStr">
        <is>
          <t>Docker</t>
        </is>
      </c>
      <c r="E30" s="27" t="inlineStr">
        <is>
          <t>Docker Security</t>
        </is>
      </c>
      <c r="F30" s="28" t="inlineStr">
        <is>
          <t>Trivy scan; rootless containers; AppArmor/seccomp</t>
        </is>
      </c>
      <c r="G30" s="27" t="n">
        <v>2</v>
      </c>
      <c r="H30" s="27" t="n"/>
      <c r="I30" s="27" t="inlineStr">
        <is>
          <t>Not started</t>
        </is>
      </c>
      <c r="J30" s="27" t="n">
        <v>0</v>
      </c>
      <c r="K30" s="27" t="n"/>
      <c r="L30" s="27" t="n"/>
      <c r="M30" s="27" t="n"/>
    </row>
    <row r="31" ht="24" customHeight="1" s="52">
      <c r="A31" s="26" t="inlineStr">
        <is>
          <t>2026-04-04</t>
        </is>
      </c>
      <c r="B31" s="26" t="n">
        <v>3</v>
      </c>
      <c r="C31" s="26" t="inlineStr">
        <is>
          <t>Sat</t>
        </is>
      </c>
      <c r="D31" s="26" t="inlineStr">
        <is>
          <t>Docker</t>
        </is>
      </c>
      <c r="E31" s="26" t="inlineStr">
        <is>
          <t>Docker Compose</t>
        </is>
      </c>
      <c r="F31" s="3" t="inlineStr">
        <is>
          <t>Compose v2: Nginx + App + Postgres; health checks; volumes</t>
        </is>
      </c>
      <c r="G31" s="26" t="n">
        <v>2</v>
      </c>
      <c r="H31" s="26" t="n"/>
      <c r="I31" s="26" t="inlineStr">
        <is>
          <t>Not started</t>
        </is>
      </c>
      <c r="J31" s="26" t="n">
        <v>0</v>
      </c>
      <c r="K31" s="26" t="n"/>
      <c r="L31" s="26" t="n"/>
      <c r="M31" s="26" t="n"/>
    </row>
    <row r="32">
      <c r="A32" s="27" t="inlineStr">
        <is>
          <t>2026-04-05</t>
        </is>
      </c>
      <c r="B32" s="27" t="n">
        <v>3</v>
      </c>
      <c r="C32" s="27" t="inlineStr">
        <is>
          <t>Sun</t>
        </is>
      </c>
      <c r="D32" s="27" t="inlineStr">
        <is>
          <t>Docker</t>
        </is>
      </c>
      <c r="E32" s="27" t="inlineStr">
        <is>
          <t>Docker Review</t>
        </is>
      </c>
      <c r="F32" s="28" t="inlineStr">
        <is>
          <t>Review + interview Q; push image to ECR</t>
        </is>
      </c>
      <c r="G32" s="27" t="n">
        <v>1.5</v>
      </c>
      <c r="H32" s="27" t="n"/>
      <c r="I32" s="27" t="inlineStr">
        <is>
          <t>Not started</t>
        </is>
      </c>
      <c r="J32" s="27" t="n">
        <v>0</v>
      </c>
      <c r="K32" s="27" t="n"/>
      <c r="L32" s="27" t="n"/>
      <c r="M32" s="27" t="n"/>
    </row>
    <row r="33" ht="24" customHeight="1" s="52">
      <c r="A33" s="26" t="inlineStr">
        <is>
          <t>2026-04-06</t>
        </is>
      </c>
      <c r="B33" s="26" t="n">
        <v>3</v>
      </c>
      <c r="C33" s="26" t="inlineStr">
        <is>
          <t>Mon</t>
        </is>
      </c>
      <c r="D33" s="26" t="inlineStr">
        <is>
          <t>Docker</t>
        </is>
      </c>
      <c r="E33" s="26" t="inlineStr">
        <is>
          <t>Container Networking</t>
        </is>
      </c>
      <c r="F33" s="3" t="inlineStr">
        <is>
          <t>Bridge, host, overlay networks; DNS resolution in Docker</t>
        </is>
      </c>
      <c r="G33" s="26" t="n">
        <v>1.5</v>
      </c>
      <c r="H33" s="26" t="n"/>
      <c r="I33" s="26" t="inlineStr">
        <is>
          <t>Not started</t>
        </is>
      </c>
      <c r="J33" s="26" t="n">
        <v>0</v>
      </c>
      <c r="K33" s="26" t="n"/>
      <c r="L33" s="26" t="n"/>
      <c r="M33" s="26" t="n"/>
    </row>
    <row r="34">
      <c r="A34" s="27" t="inlineStr">
        <is>
          <t>2026-04-06</t>
        </is>
      </c>
      <c r="B34" s="27" t="n">
        <v>3</v>
      </c>
      <c r="C34" s="27" t="inlineStr">
        <is>
          <t>Mon</t>
        </is>
      </c>
      <c r="D34" s="27" t="inlineStr">
        <is>
          <t>Docker</t>
        </is>
      </c>
      <c r="E34" s="27" t="inlineStr">
        <is>
          <t>Container Lab</t>
        </is>
      </c>
      <c r="F34" s="28" t="inlineStr">
        <is>
          <t>Multi-service app; custom network; service discovery</t>
        </is>
      </c>
      <c r="G34" s="27" t="n">
        <v>1.5</v>
      </c>
      <c r="H34" s="27" t="n"/>
      <c r="I34" s="27" t="inlineStr">
        <is>
          <t>Not started</t>
        </is>
      </c>
      <c r="J34" s="27" t="n">
        <v>0</v>
      </c>
      <c r="K34" s="27" t="n"/>
      <c r="L34" s="27" t="n"/>
      <c r="M34" s="27" t="n"/>
    </row>
    <row r="35">
      <c r="A35" s="26" t="inlineStr">
        <is>
          <t>2026-04-07</t>
        </is>
      </c>
      <c r="B35" s="26" t="n">
        <v>3</v>
      </c>
      <c r="C35" s="26" t="inlineStr">
        <is>
          <t>Tue</t>
        </is>
      </c>
      <c r="D35" s="26" t="inlineStr">
        <is>
          <t>Docker</t>
        </is>
      </c>
      <c r="E35" s="26" t="inlineStr">
        <is>
          <t>Docker Best Practices</t>
        </is>
      </c>
      <c r="F35" s="3" t="inlineStr">
        <is>
          <t>Layer caching; minimal base images; non-root user</t>
        </is>
      </c>
      <c r="G35" s="26" t="n">
        <v>1.5</v>
      </c>
      <c r="H35" s="26" t="n"/>
      <c r="I35" s="26" t="inlineStr">
        <is>
          <t>Not started</t>
        </is>
      </c>
      <c r="J35" s="26" t="n">
        <v>0</v>
      </c>
      <c r="K35" s="26" t="n"/>
      <c r="L35" s="26" t="n"/>
      <c r="M35" s="26" t="n"/>
    </row>
    <row r="36">
      <c r="A36" s="27" t="inlineStr">
        <is>
          <t>2026-04-07</t>
        </is>
      </c>
      <c r="B36" s="27" t="n">
        <v>3</v>
      </c>
      <c r="C36" s="27" t="inlineStr">
        <is>
          <t>Tue</t>
        </is>
      </c>
      <c r="D36" s="27" t="inlineStr">
        <is>
          <t>Docker</t>
        </is>
      </c>
      <c r="E36" s="27" t="inlineStr">
        <is>
          <t>Docker Lab</t>
        </is>
      </c>
      <c r="F36" s="28" t="inlineStr">
        <is>
          <t>Optimise existing Dockerfile; Trivy scan + fix vulns</t>
        </is>
      </c>
      <c r="G36" s="27" t="n">
        <v>1.5</v>
      </c>
      <c r="H36" s="27" t="n"/>
      <c r="I36" s="27" t="inlineStr">
        <is>
          <t>Not started</t>
        </is>
      </c>
      <c r="J36" s="27" t="n">
        <v>0</v>
      </c>
      <c r="K36" s="27" t="n"/>
      <c r="L36" s="27" t="n"/>
      <c r="M36" s="27" t="n"/>
    </row>
    <row r="37">
      <c r="A37" s="26" t="inlineStr">
        <is>
          <t>2026-04-08</t>
        </is>
      </c>
      <c r="B37" s="26" t="n">
        <v>3</v>
      </c>
      <c r="C37" s="26" t="inlineStr">
        <is>
          <t>Wed</t>
        </is>
      </c>
      <c r="D37" s="26" t="inlineStr">
        <is>
          <t>Docker</t>
        </is>
      </c>
      <c r="E37" s="26" t="inlineStr">
        <is>
          <t>Container Internals</t>
        </is>
      </c>
      <c r="F37" s="3" t="inlineStr">
        <is>
          <t>cgroups + namespaces in practice; OCI spec</t>
        </is>
      </c>
      <c r="G37" s="26" t="n">
        <v>1.5</v>
      </c>
      <c r="H37" s="26" t="n"/>
      <c r="I37" s="26" t="inlineStr">
        <is>
          <t>Not started</t>
        </is>
      </c>
      <c r="J37" s="26" t="n">
        <v>0</v>
      </c>
      <c r="K37" s="26" t="n"/>
      <c r="L37" s="26" t="n"/>
      <c r="M37" s="26" t="n"/>
    </row>
    <row r="38">
      <c r="A38" s="27" t="inlineStr">
        <is>
          <t>2026-04-08</t>
        </is>
      </c>
      <c r="B38" s="27" t="n">
        <v>3</v>
      </c>
      <c r="C38" s="27" t="inlineStr">
        <is>
          <t>Wed</t>
        </is>
      </c>
      <c r="D38" s="27" t="inlineStr">
        <is>
          <t>Interview Prep</t>
        </is>
      </c>
      <c r="E38" s="27" t="inlineStr">
        <is>
          <t>Container Q&amp;A</t>
        </is>
      </c>
      <c r="F38" s="28" t="inlineStr">
        <is>
          <t>Container security interview questions x20</t>
        </is>
      </c>
      <c r="G38" s="27" t="n">
        <v>1.5</v>
      </c>
      <c r="H38" s="27" t="n"/>
      <c r="I38" s="27" t="inlineStr">
        <is>
          <t>Not started</t>
        </is>
      </c>
      <c r="J38" s="27" t="n">
        <v>0</v>
      </c>
      <c r="K38" s="27" t="n"/>
      <c r="L38" s="27" t="n"/>
      <c r="M38" s="27" t="n"/>
    </row>
    <row r="39">
      <c r="A39" s="26" t="inlineStr">
        <is>
          <t>2026-04-09</t>
        </is>
      </c>
      <c r="B39" s="26" t="n">
        <v>3</v>
      </c>
      <c r="C39" s="26" t="inlineStr">
        <is>
          <t>Thu</t>
        </is>
      </c>
      <c r="D39" s="26" t="inlineStr">
        <is>
          <t>Docker</t>
        </is>
      </c>
      <c r="E39" s="26" t="inlineStr">
        <is>
          <t>Docker Final Lab</t>
        </is>
      </c>
      <c r="F39" s="3" t="inlineStr">
        <is>
          <t>Full containerised app stack to ECR; push + pull</t>
        </is>
      </c>
      <c r="G39" s="26" t="n">
        <v>2</v>
      </c>
      <c r="H39" s="26" t="n"/>
      <c r="I39" s="26" t="inlineStr">
        <is>
          <t>Not started</t>
        </is>
      </c>
      <c r="J39" s="26" t="n">
        <v>0</v>
      </c>
      <c r="K39" s="26" t="n"/>
      <c r="L39" s="26" t="n"/>
      <c r="M39" s="26" t="n"/>
    </row>
    <row r="40">
      <c r="A40" s="27" t="inlineStr">
        <is>
          <t>2026-04-10</t>
        </is>
      </c>
      <c r="B40" s="27" t="n">
        <v>4</v>
      </c>
      <c r="C40" s="27" t="inlineStr">
        <is>
          <t>Fri</t>
        </is>
      </c>
      <c r="D40" s="27" t="inlineStr">
        <is>
          <t>CI/CD</t>
        </is>
      </c>
      <c r="E40" s="27" t="inlineStr">
        <is>
          <t>Jenkins Pipelines</t>
        </is>
      </c>
      <c r="F40" s="28" t="inlineStr">
        <is>
          <t>Declarative Jenkinsfile; shared libraries; agents</t>
        </is>
      </c>
      <c r="G40" s="27" t="n">
        <v>1.5</v>
      </c>
      <c r="H40" s="27" t="n"/>
      <c r="I40" s="27" t="inlineStr">
        <is>
          <t>Not started</t>
        </is>
      </c>
      <c r="J40" s="27" t="n">
        <v>0</v>
      </c>
      <c r="K40" s="27" t="n"/>
      <c r="L40" s="27" t="n"/>
      <c r="M40" s="27" t="n"/>
    </row>
    <row r="41">
      <c r="A41" s="26" t="inlineStr">
        <is>
          <t>2026-04-10</t>
        </is>
      </c>
      <c r="B41" s="26" t="n">
        <v>4</v>
      </c>
      <c r="C41" s="26" t="inlineStr">
        <is>
          <t>Fri</t>
        </is>
      </c>
      <c r="D41" s="26" t="inlineStr">
        <is>
          <t>CI/CD</t>
        </is>
      </c>
      <c r="E41" s="26" t="inlineStr">
        <is>
          <t>Jenkins Lab</t>
        </is>
      </c>
      <c r="F41" s="3" t="inlineStr">
        <is>
          <t>Multi-stage pipeline: test→build→docker→ECR</t>
        </is>
      </c>
      <c r="G41" s="26" t="n">
        <v>1.5</v>
      </c>
      <c r="H41" s="26" t="n"/>
      <c r="I41" s="26" t="inlineStr">
        <is>
          <t>Not started</t>
        </is>
      </c>
      <c r="J41" s="26" t="n">
        <v>0</v>
      </c>
      <c r="K41" s="26" t="n"/>
      <c r="L41" s="26" t="n"/>
      <c r="M41" s="26" t="n"/>
    </row>
    <row r="42">
      <c r="A42" s="27" t="inlineStr">
        <is>
          <t>2026-04-11</t>
        </is>
      </c>
      <c r="B42" s="27" t="n">
        <v>4</v>
      </c>
      <c r="C42" s="27" t="inlineStr">
        <is>
          <t>Sat</t>
        </is>
      </c>
      <c r="D42" s="27" t="inlineStr">
        <is>
          <t>CI/CD</t>
        </is>
      </c>
      <c r="E42" s="27" t="inlineStr">
        <is>
          <t>GitHub Actions</t>
        </is>
      </c>
      <c r="F42" s="28" t="inlineStr">
        <is>
          <t>Reusable workflows; matrix builds; OIDC to AWS</t>
        </is>
      </c>
      <c r="G42" s="27" t="n">
        <v>2</v>
      </c>
      <c r="H42" s="27" t="n"/>
      <c r="I42" s="27" t="inlineStr">
        <is>
          <t>Not started</t>
        </is>
      </c>
      <c r="J42" s="27" t="n">
        <v>0</v>
      </c>
      <c r="K42" s="27" t="n"/>
      <c r="L42" s="27" t="n"/>
      <c r="M42" s="27" t="n"/>
    </row>
    <row r="43">
      <c r="A43" s="26" t="inlineStr">
        <is>
          <t>2026-04-11</t>
        </is>
      </c>
      <c r="B43" s="26" t="n">
        <v>4</v>
      </c>
      <c r="C43" s="26" t="inlineStr">
        <is>
          <t>Sat</t>
        </is>
      </c>
      <c r="D43" s="26" t="inlineStr">
        <is>
          <t>CI/CD</t>
        </is>
      </c>
      <c r="E43" s="26" t="inlineStr">
        <is>
          <t>GHA Lab</t>
        </is>
      </c>
      <c r="F43" s="3" t="inlineStr">
        <is>
          <t>GHA: OIDC assume-role; build+push ECR; deploy</t>
        </is>
      </c>
      <c r="G43" s="26" t="n">
        <v>2</v>
      </c>
      <c r="H43" s="26" t="n"/>
      <c r="I43" s="26" t="inlineStr">
        <is>
          <t>Not started</t>
        </is>
      </c>
      <c r="J43" s="26" t="n">
        <v>0</v>
      </c>
      <c r="K43" s="26" t="n"/>
      <c r="L43" s="26" t="n"/>
      <c r="M43" s="26" t="n"/>
    </row>
    <row r="44">
      <c r="A44" s="27" t="inlineStr">
        <is>
          <t>2026-04-12</t>
        </is>
      </c>
      <c r="B44" s="27" t="n">
        <v>4</v>
      </c>
      <c r="C44" s="27" t="inlineStr">
        <is>
          <t>Sun</t>
        </is>
      </c>
      <c r="D44" s="27" t="inlineStr">
        <is>
          <t>CI/CD</t>
        </is>
      </c>
      <c r="E44" s="27" t="inlineStr">
        <is>
          <t>Review + Apply</t>
        </is>
      </c>
      <c r="F44" s="28" t="inlineStr">
        <is>
          <t>Notes; apply to 8 jobs; plan Week 5</t>
        </is>
      </c>
      <c r="G44" s="27" t="n">
        <v>1.5</v>
      </c>
      <c r="H44" s="27" t="n"/>
      <c r="I44" s="27" t="inlineStr">
        <is>
          <t>Not started</t>
        </is>
      </c>
      <c r="J44" s="27" t="n">
        <v>0</v>
      </c>
      <c r="K44" s="27" t="n"/>
      <c r="L44" s="27" t="n"/>
      <c r="M44" s="27" t="n"/>
    </row>
    <row r="45">
      <c r="A45" s="26" t="inlineStr">
        <is>
          <t>2026-04-13</t>
        </is>
      </c>
      <c r="B45" s="26" t="n">
        <v>4</v>
      </c>
      <c r="C45" s="26" t="inlineStr">
        <is>
          <t>Mon</t>
        </is>
      </c>
      <c r="D45" s="26" t="inlineStr">
        <is>
          <t>CI/CD</t>
        </is>
      </c>
      <c r="E45" s="26" t="inlineStr">
        <is>
          <t>SonarQube</t>
        </is>
      </c>
      <c r="F45" s="3" t="inlineStr">
        <is>
          <t>Quality gates; rules; pipeline integration</t>
        </is>
      </c>
      <c r="G45" s="26" t="n">
        <v>1.5</v>
      </c>
      <c r="H45" s="26" t="n"/>
      <c r="I45" s="26" t="inlineStr">
        <is>
          <t>Not started</t>
        </is>
      </c>
      <c r="J45" s="26" t="n">
        <v>0</v>
      </c>
      <c r="K45" s="26" t="n"/>
      <c r="L45" s="26" t="n"/>
      <c r="M45" s="26" t="n"/>
    </row>
    <row r="46">
      <c r="A46" s="27" t="inlineStr">
        <is>
          <t>2026-04-13</t>
        </is>
      </c>
      <c r="B46" s="27" t="n">
        <v>4</v>
      </c>
      <c r="C46" s="27" t="inlineStr">
        <is>
          <t>Mon</t>
        </is>
      </c>
      <c r="D46" s="27" t="inlineStr">
        <is>
          <t>CI/CD</t>
        </is>
      </c>
      <c r="E46" s="27" t="inlineStr">
        <is>
          <t>SonarQube Lab</t>
        </is>
      </c>
      <c r="F46" s="28" t="inlineStr">
        <is>
          <t>SonarQube + Jenkins: block deploy on quality gate fail</t>
        </is>
      </c>
      <c r="G46" s="27" t="n">
        <v>1.5</v>
      </c>
      <c r="H46" s="27" t="n"/>
      <c r="I46" s="27" t="inlineStr">
        <is>
          <t>Not started</t>
        </is>
      </c>
      <c r="J46" s="27" t="n">
        <v>0</v>
      </c>
      <c r="K46" s="27" t="n"/>
      <c r="L46" s="27" t="n"/>
      <c r="M46" s="27" t="n"/>
    </row>
    <row r="47">
      <c r="A47" s="26" t="inlineStr">
        <is>
          <t>2026-04-14</t>
        </is>
      </c>
      <c r="B47" s="26" t="n">
        <v>4</v>
      </c>
      <c r="C47" s="26" t="inlineStr">
        <is>
          <t>Tue</t>
        </is>
      </c>
      <c r="D47" s="26" t="inlineStr">
        <is>
          <t>CI/CD</t>
        </is>
      </c>
      <c r="E47" s="26" t="inlineStr">
        <is>
          <t>Nexus/Artifactory</t>
        </is>
      </c>
      <c r="F47" s="3" t="inlineStr">
        <is>
          <t>Artifact management; Maven + npm repos; proxying</t>
        </is>
      </c>
      <c r="G47" s="26" t="n">
        <v>1.5</v>
      </c>
      <c r="H47" s="26" t="n"/>
      <c r="I47" s="26" t="inlineStr">
        <is>
          <t>Not started</t>
        </is>
      </c>
      <c r="J47" s="26" t="n">
        <v>0</v>
      </c>
      <c r="K47" s="26" t="n"/>
      <c r="L47" s="26" t="n"/>
      <c r="M47" s="26" t="n"/>
    </row>
    <row r="48">
      <c r="A48" s="27" t="inlineStr">
        <is>
          <t>2026-04-14</t>
        </is>
      </c>
      <c r="B48" s="27" t="n">
        <v>4</v>
      </c>
      <c r="C48" s="27" t="inlineStr">
        <is>
          <t>Tue</t>
        </is>
      </c>
      <c r="D48" s="27" t="inlineStr">
        <is>
          <t>CI/CD</t>
        </is>
      </c>
      <c r="E48" s="27" t="inlineStr">
        <is>
          <t>Artifacts Lab</t>
        </is>
      </c>
      <c r="F48" s="28" t="inlineStr">
        <is>
          <t>Nexus: push+pull Docker image; Maven artifact pipeline</t>
        </is>
      </c>
      <c r="G48" s="27" t="n">
        <v>1.5</v>
      </c>
      <c r="H48" s="27" t="n"/>
      <c r="I48" s="27" t="inlineStr">
        <is>
          <t>Not started</t>
        </is>
      </c>
      <c r="J48" s="27" t="n">
        <v>0</v>
      </c>
      <c r="K48" s="27" t="n"/>
      <c r="L48" s="27" t="n"/>
      <c r="M48" s="27" t="n"/>
    </row>
    <row r="49">
      <c r="A49" s="26" t="inlineStr">
        <is>
          <t>2026-04-15</t>
        </is>
      </c>
      <c r="B49" s="26" t="n">
        <v>4</v>
      </c>
      <c r="C49" s="26" t="inlineStr">
        <is>
          <t>Wed</t>
        </is>
      </c>
      <c r="D49" s="26" t="inlineStr">
        <is>
          <t>CI/CD</t>
        </is>
      </c>
      <c r="E49" s="26" t="inlineStr">
        <is>
          <t>CD Patterns</t>
        </is>
      </c>
      <c r="F49" s="3" t="inlineStr">
        <is>
          <t>Blue-green; canary; rolling; feature flags in CD</t>
        </is>
      </c>
      <c r="G49" s="26" t="n">
        <v>1.5</v>
      </c>
      <c r="H49" s="26" t="n"/>
      <c r="I49" s="26" t="inlineStr">
        <is>
          <t>Not started</t>
        </is>
      </c>
      <c r="J49" s="26" t="n">
        <v>0</v>
      </c>
      <c r="K49" s="26" t="n"/>
      <c r="L49" s="26" t="n"/>
      <c r="M49" s="26" t="n"/>
    </row>
    <row r="50">
      <c r="A50" s="27" t="inlineStr">
        <is>
          <t>2026-04-15</t>
        </is>
      </c>
      <c r="B50" s="27" t="n">
        <v>4</v>
      </c>
      <c r="C50" s="27" t="inlineStr">
        <is>
          <t>Wed</t>
        </is>
      </c>
      <c r="D50" s="27" t="inlineStr">
        <is>
          <t>Interview Prep</t>
        </is>
      </c>
      <c r="E50" s="27" t="inlineStr">
        <is>
          <t>CI/CD Q&amp;A</t>
        </is>
      </c>
      <c r="F50" s="28" t="inlineStr">
        <is>
          <t>CI/CD interview questions x25 + live scenario</t>
        </is>
      </c>
      <c r="G50" s="27" t="n">
        <v>1.5</v>
      </c>
      <c r="H50" s="27" t="n"/>
      <c r="I50" s="27" t="inlineStr">
        <is>
          <t>Not started</t>
        </is>
      </c>
      <c r="J50" s="27" t="n">
        <v>0</v>
      </c>
      <c r="K50" s="27" t="n"/>
      <c r="L50" s="27" t="n"/>
      <c r="M50" s="27" t="n"/>
    </row>
    <row r="51" ht="24" customHeight="1" s="52">
      <c r="A51" s="26" t="inlineStr">
        <is>
          <t>2026-04-16</t>
        </is>
      </c>
      <c r="B51" s="26" t="n">
        <v>4</v>
      </c>
      <c r="C51" s="26" t="inlineStr">
        <is>
          <t>Thu</t>
        </is>
      </c>
      <c r="D51" s="26" t="inlineStr">
        <is>
          <t>CI/CD</t>
        </is>
      </c>
      <c r="E51" s="26" t="inlineStr">
        <is>
          <t>Full Pipeline Lab</t>
        </is>
      </c>
      <c r="F51" s="3" t="inlineStr">
        <is>
          <t>End-to-end: code→SonarQube→Docker→ECR→K8s deploy</t>
        </is>
      </c>
      <c r="G51" s="26" t="n">
        <v>2</v>
      </c>
      <c r="H51" s="26" t="n"/>
      <c r="I51" s="26" t="inlineStr">
        <is>
          <t>Not started</t>
        </is>
      </c>
      <c r="J51" s="26" t="n">
        <v>0</v>
      </c>
      <c r="K51" s="26" t="n"/>
      <c r="L51" s="26" t="n"/>
      <c r="M51" s="26" t="n"/>
    </row>
    <row r="52">
      <c r="A52" s="27" t="inlineStr">
        <is>
          <t>2026-04-17</t>
        </is>
      </c>
      <c r="B52" s="27" t="n">
        <v>5</v>
      </c>
      <c r="C52" s="27" t="inlineStr">
        <is>
          <t>Fri</t>
        </is>
      </c>
      <c r="D52" s="27" t="inlineStr">
        <is>
          <t>Kubernetes</t>
        </is>
      </c>
      <c r="E52" s="27" t="inlineStr">
        <is>
          <t>K8s Architecture</t>
        </is>
      </c>
      <c r="F52" s="28" t="inlineStr">
        <is>
          <t>API server, etcd, scheduler, kubelet, kube-proxy</t>
        </is>
      </c>
      <c r="G52" s="27" t="n">
        <v>1.5</v>
      </c>
      <c r="H52" s="27" t="n"/>
      <c r="I52" s="27" t="inlineStr">
        <is>
          <t>Not started</t>
        </is>
      </c>
      <c r="J52" s="27" t="n">
        <v>0</v>
      </c>
      <c r="K52" s="27" t="n"/>
      <c r="L52" s="27" t="n"/>
      <c r="M52" s="27" t="n"/>
    </row>
    <row r="53">
      <c r="A53" s="26" t="inlineStr">
        <is>
          <t>2026-04-17</t>
        </is>
      </c>
      <c r="B53" s="26" t="n">
        <v>5</v>
      </c>
      <c r="C53" s="26" t="inlineStr">
        <is>
          <t>Fri</t>
        </is>
      </c>
      <c r="D53" s="26" t="inlineStr">
        <is>
          <t>Kubernetes</t>
        </is>
      </c>
      <c r="E53" s="26" t="inlineStr">
        <is>
          <t>K8s Lab</t>
        </is>
      </c>
      <c r="F53" s="3" t="inlineStr">
        <is>
          <t>minikube/kind; deploy Nginx; inspect all components</t>
        </is>
      </c>
      <c r="G53" s="26" t="n">
        <v>1.5</v>
      </c>
      <c r="H53" s="26" t="n"/>
      <c r="I53" s="26" t="inlineStr">
        <is>
          <t>Not started</t>
        </is>
      </c>
      <c r="J53" s="26" t="n">
        <v>0</v>
      </c>
      <c r="K53" s="26" t="n"/>
      <c r="L53" s="26" t="n"/>
      <c r="M53" s="26" t="n"/>
    </row>
    <row r="54" ht="24" customHeight="1" s="52">
      <c r="A54" s="27" t="inlineStr">
        <is>
          <t>2026-04-18</t>
        </is>
      </c>
      <c r="B54" s="27" t="n">
        <v>5</v>
      </c>
      <c r="C54" s="27" t="inlineStr">
        <is>
          <t>Sat</t>
        </is>
      </c>
      <c r="D54" s="27" t="inlineStr">
        <is>
          <t>Kubernetes</t>
        </is>
      </c>
      <c r="E54" s="27" t="inlineStr">
        <is>
          <t>Workloads</t>
        </is>
      </c>
      <c r="F54" s="28" t="inlineStr">
        <is>
          <t>Pods, RS, Deployments, StatefulSets, DaemonSets, Jobs</t>
        </is>
      </c>
      <c r="G54" s="27" t="n">
        <v>2</v>
      </c>
      <c r="H54" s="27" t="n"/>
      <c r="I54" s="27" t="inlineStr">
        <is>
          <t>Not started</t>
        </is>
      </c>
      <c r="J54" s="27" t="n">
        <v>0</v>
      </c>
      <c r="K54" s="27" t="n"/>
      <c r="L54" s="27" t="n"/>
      <c r="M54" s="27" t="n"/>
    </row>
    <row r="55">
      <c r="A55" s="26" t="inlineStr">
        <is>
          <t>2026-04-18</t>
        </is>
      </c>
      <c r="B55" s="26" t="n">
        <v>5</v>
      </c>
      <c r="C55" s="26" t="inlineStr">
        <is>
          <t>Sat</t>
        </is>
      </c>
      <c r="D55" s="26" t="inlineStr">
        <is>
          <t>Kubernetes</t>
        </is>
      </c>
      <c r="E55" s="26" t="inlineStr">
        <is>
          <t>K8s Lab</t>
        </is>
      </c>
      <c r="F55" s="3" t="inlineStr">
        <is>
          <t>3-tier app deploy; rolling update; rollback; scale</t>
        </is>
      </c>
      <c r="G55" s="26" t="n">
        <v>2</v>
      </c>
      <c r="H55" s="26" t="n"/>
      <c r="I55" s="26" t="inlineStr">
        <is>
          <t>Not started</t>
        </is>
      </c>
      <c r="J55" s="26" t="n">
        <v>0</v>
      </c>
      <c r="K55" s="26" t="n"/>
      <c r="L55" s="26" t="n"/>
      <c r="M55" s="26" t="n"/>
    </row>
    <row r="56">
      <c r="A56" s="27" t="inlineStr">
        <is>
          <t>2026-04-19</t>
        </is>
      </c>
      <c r="B56" s="27" t="n">
        <v>5</v>
      </c>
      <c r="C56" s="27" t="inlineStr">
        <is>
          <t>Sun</t>
        </is>
      </c>
      <c r="D56" s="27" t="inlineStr">
        <is>
          <t>Kubernetes</t>
        </is>
      </c>
      <c r="E56" s="27" t="inlineStr">
        <is>
          <t>K8s Review</t>
        </is>
      </c>
      <c r="F56" s="28" t="inlineStr">
        <is>
          <t>Review + interview Q; apply to 5 jobs</t>
        </is>
      </c>
      <c r="G56" s="27" t="n">
        <v>1.5</v>
      </c>
      <c r="H56" s="27" t="n"/>
      <c r="I56" s="27" t="inlineStr">
        <is>
          <t>Not started</t>
        </is>
      </c>
      <c r="J56" s="27" t="n">
        <v>0</v>
      </c>
      <c r="K56" s="27" t="n"/>
      <c r="L56" s="27" t="n"/>
      <c r="M56" s="27" t="n"/>
    </row>
    <row r="57">
      <c r="A57" s="26" t="inlineStr">
        <is>
          <t>2026-04-20</t>
        </is>
      </c>
      <c r="B57" s="26" t="n">
        <v>5</v>
      </c>
      <c r="C57" s="26" t="inlineStr">
        <is>
          <t>Mon</t>
        </is>
      </c>
      <c r="D57" s="26" t="inlineStr">
        <is>
          <t>Kubernetes</t>
        </is>
      </c>
      <c r="E57" s="26" t="inlineStr">
        <is>
          <t>Services + Config</t>
        </is>
      </c>
      <c r="F57" s="3" t="inlineStr">
        <is>
          <t>ClusterIP/NP/LB; ConfigMaps; Secrets; env injection</t>
        </is>
      </c>
      <c r="G57" s="26" t="n">
        <v>1.5</v>
      </c>
      <c r="H57" s="26" t="n"/>
      <c r="I57" s="26" t="inlineStr">
        <is>
          <t>Not started</t>
        </is>
      </c>
      <c r="J57" s="26" t="n">
        <v>0</v>
      </c>
      <c r="K57" s="26" t="n"/>
      <c r="L57" s="26" t="n"/>
      <c r="M57" s="26" t="n"/>
    </row>
    <row r="58">
      <c r="A58" s="27" t="inlineStr">
        <is>
          <t>2026-04-20</t>
        </is>
      </c>
      <c r="B58" s="27" t="n">
        <v>5</v>
      </c>
      <c r="C58" s="27" t="inlineStr">
        <is>
          <t>Mon</t>
        </is>
      </c>
      <c r="D58" s="27" t="inlineStr">
        <is>
          <t>Kubernetes</t>
        </is>
      </c>
      <c r="E58" s="27" t="inlineStr">
        <is>
          <t>K8s Lab</t>
        </is>
      </c>
      <c r="F58" s="28" t="inlineStr">
        <is>
          <t>Service types; ConfigMap/Secret mount; env override</t>
        </is>
      </c>
      <c r="G58" s="27" t="n">
        <v>1.5</v>
      </c>
      <c r="H58" s="27" t="n"/>
      <c r="I58" s="27" t="inlineStr">
        <is>
          <t>Not started</t>
        </is>
      </c>
      <c r="J58" s="27" t="n">
        <v>0</v>
      </c>
      <c r="K58" s="27" t="n"/>
      <c r="L58" s="27" t="n"/>
      <c r="M58" s="27" t="n"/>
    </row>
    <row r="59" ht="24" customHeight="1" s="52">
      <c r="A59" s="26" t="inlineStr">
        <is>
          <t>2026-04-21</t>
        </is>
      </c>
      <c r="B59" s="26" t="n">
        <v>5</v>
      </c>
      <c r="C59" s="26" t="inlineStr">
        <is>
          <t>Tue</t>
        </is>
      </c>
      <c r="D59" s="26" t="inlineStr">
        <is>
          <t>Kubernetes</t>
        </is>
      </c>
      <c r="E59" s="26" t="inlineStr">
        <is>
          <t>Probes + Resources</t>
        </is>
      </c>
      <c r="F59" s="3" t="inlineStr">
        <is>
          <t>Liveness/readiness/startup probes; requests+limits; QoS</t>
        </is>
      </c>
      <c r="G59" s="26" t="n">
        <v>1.5</v>
      </c>
      <c r="H59" s="26" t="n"/>
      <c r="I59" s="26" t="inlineStr">
        <is>
          <t>Not started</t>
        </is>
      </c>
      <c r="J59" s="26" t="n">
        <v>0</v>
      </c>
      <c r="K59" s="26" t="n"/>
      <c r="L59" s="26" t="n"/>
      <c r="M59" s="26" t="n"/>
    </row>
    <row r="60" ht="24" customHeight="1" s="52">
      <c r="A60" s="27" t="inlineStr">
        <is>
          <t>2026-04-21</t>
        </is>
      </c>
      <c r="B60" s="27" t="n">
        <v>5</v>
      </c>
      <c r="C60" s="27" t="inlineStr">
        <is>
          <t>Tue</t>
        </is>
      </c>
      <c r="D60" s="27" t="inlineStr">
        <is>
          <t>Kubernetes</t>
        </is>
      </c>
      <c r="E60" s="27" t="inlineStr">
        <is>
          <t>K8s Debug Lab</t>
        </is>
      </c>
      <c r="F60" s="28" t="inlineStr">
        <is>
          <t>Simulate and fix: CrashLoop, OOMKilled, Pending, ImagePull</t>
        </is>
      </c>
      <c r="G60" s="27" t="n">
        <v>1.5</v>
      </c>
      <c r="H60" s="27" t="n"/>
      <c r="I60" s="27" t="inlineStr">
        <is>
          <t>Not started</t>
        </is>
      </c>
      <c r="J60" s="27" t="n">
        <v>0</v>
      </c>
      <c r="K60" s="27" t="n"/>
      <c r="L60" s="27" t="n"/>
      <c r="M60" s="27" t="n"/>
    </row>
    <row r="61">
      <c r="A61" s="26" t="inlineStr">
        <is>
          <t>2026-04-22</t>
        </is>
      </c>
      <c r="B61" s="26" t="n">
        <v>5</v>
      </c>
      <c r="C61" s="26" t="inlineStr">
        <is>
          <t>Wed</t>
        </is>
      </c>
      <c r="D61" s="26" t="inlineStr">
        <is>
          <t>Kubernetes</t>
        </is>
      </c>
      <c r="E61" s="26" t="inlineStr">
        <is>
          <t>Storage</t>
        </is>
      </c>
      <c r="F61" s="3" t="inlineStr">
        <is>
          <t>PV, PVC, StorageClass, CSI; StatefulSet with storage</t>
        </is>
      </c>
      <c r="G61" s="26" t="n">
        <v>1.5</v>
      </c>
      <c r="H61" s="26" t="n"/>
      <c r="I61" s="26" t="inlineStr">
        <is>
          <t>Not started</t>
        </is>
      </c>
      <c r="J61" s="26" t="n">
        <v>0</v>
      </c>
      <c r="K61" s="26" t="n"/>
      <c r="L61" s="26" t="n"/>
      <c r="M61" s="26" t="n"/>
    </row>
    <row r="62">
      <c r="A62" s="27" t="inlineStr">
        <is>
          <t>2026-04-22</t>
        </is>
      </c>
      <c r="B62" s="27" t="n">
        <v>5</v>
      </c>
      <c r="C62" s="27" t="inlineStr">
        <is>
          <t>Wed</t>
        </is>
      </c>
      <c r="D62" s="27" t="inlineStr">
        <is>
          <t>Interview Prep</t>
        </is>
      </c>
      <c r="E62" s="27" t="inlineStr">
        <is>
          <t>K8s Q&amp;A</t>
        </is>
      </c>
      <c r="F62" s="28" t="inlineStr">
        <is>
          <t>K8s architecture + workload interview Qs x25</t>
        </is>
      </c>
      <c r="G62" s="27" t="n">
        <v>1.5</v>
      </c>
      <c r="H62" s="27" t="n"/>
      <c r="I62" s="27" t="inlineStr">
        <is>
          <t>Not started</t>
        </is>
      </c>
      <c r="J62" s="27" t="n">
        <v>0</v>
      </c>
      <c r="K62" s="27" t="n"/>
      <c r="L62" s="27" t="n"/>
      <c r="M62" s="27" t="n"/>
    </row>
    <row r="63">
      <c r="A63" s="26" t="inlineStr">
        <is>
          <t>2026-04-23</t>
        </is>
      </c>
      <c r="B63" s="26" t="n">
        <v>5</v>
      </c>
      <c r="C63" s="26" t="inlineStr">
        <is>
          <t>Thu</t>
        </is>
      </c>
      <c r="D63" s="26" t="inlineStr">
        <is>
          <t>Kubernetes</t>
        </is>
      </c>
      <c r="E63" s="26" t="inlineStr">
        <is>
          <t>K8s Lab Full</t>
        </is>
      </c>
      <c r="F63" s="3" t="inlineStr">
        <is>
          <t>Full app on K8s: Deploy+SVC+CM+Secret+PVC+probes</t>
        </is>
      </c>
      <c r="G63" s="26" t="n">
        <v>2</v>
      </c>
      <c r="H63" s="26" t="n"/>
      <c r="I63" s="26" t="inlineStr">
        <is>
          <t>Not started</t>
        </is>
      </c>
      <c r="J63" s="26" t="n">
        <v>0</v>
      </c>
      <c r="K63" s="26" t="n"/>
      <c r="L63" s="26" t="n"/>
      <c r="M63" s="26" t="n"/>
    </row>
    <row r="64">
      <c r="A64" s="27" t="inlineStr">
        <is>
          <t>2026-04-24</t>
        </is>
      </c>
      <c r="B64" s="27" t="n">
        <v>6</v>
      </c>
      <c r="C64" s="27" t="inlineStr">
        <is>
          <t>Fri</t>
        </is>
      </c>
      <c r="D64" s="27" t="inlineStr">
        <is>
          <t>Kubernetes</t>
        </is>
      </c>
      <c r="E64" s="27" t="inlineStr">
        <is>
          <t>RBAC</t>
        </is>
      </c>
      <c r="F64" s="28" t="inlineStr">
        <is>
          <t>ClusterRole, RoleBinding, ServiceAccount; audit logs</t>
        </is>
      </c>
      <c r="G64" s="27" t="n">
        <v>1.5</v>
      </c>
      <c r="H64" s="27" t="n"/>
      <c r="I64" s="27" t="inlineStr">
        <is>
          <t>Not started</t>
        </is>
      </c>
      <c r="J64" s="27" t="n">
        <v>0</v>
      </c>
      <c r="K64" s="27" t="n"/>
      <c r="L64" s="27" t="n"/>
      <c r="M64" s="27" t="n"/>
    </row>
    <row r="65" ht="24" customHeight="1" s="52">
      <c r="A65" s="26" t="inlineStr">
        <is>
          <t>2026-04-24</t>
        </is>
      </c>
      <c r="B65" s="26" t="n">
        <v>6</v>
      </c>
      <c r="C65" s="26" t="inlineStr">
        <is>
          <t>Fri</t>
        </is>
      </c>
      <c r="D65" s="26" t="inlineStr">
        <is>
          <t>Kubernetes</t>
        </is>
      </c>
      <c r="E65" s="26" t="inlineStr">
        <is>
          <t>RBAC Lab</t>
        </is>
      </c>
      <c r="F65" s="3" t="inlineStr">
        <is>
          <t>Create dev/ops roles; test permissions; service account token</t>
        </is>
      </c>
      <c r="G65" s="26" t="n">
        <v>1.5</v>
      </c>
      <c r="H65" s="26" t="n"/>
      <c r="I65" s="26" t="inlineStr">
        <is>
          <t>Not started</t>
        </is>
      </c>
      <c r="J65" s="26" t="n">
        <v>0</v>
      </c>
      <c r="K65" s="26" t="n"/>
      <c r="L65" s="26" t="n"/>
      <c r="M65" s="26" t="n"/>
    </row>
    <row r="66">
      <c r="A66" s="27" t="inlineStr">
        <is>
          <t>2026-04-25</t>
        </is>
      </c>
      <c r="B66" s="27" t="n">
        <v>6</v>
      </c>
      <c r="C66" s="27" t="inlineStr">
        <is>
          <t>Sat</t>
        </is>
      </c>
      <c r="D66" s="27" t="inlineStr">
        <is>
          <t>Kubernetes</t>
        </is>
      </c>
      <c r="E66" s="27" t="inlineStr">
        <is>
          <t>Helm 3</t>
        </is>
      </c>
      <c r="F66" s="28" t="inlineStr">
        <is>
          <t>Chart structure; templates; values.yaml; hooks; registry</t>
        </is>
      </c>
      <c r="G66" s="27" t="n">
        <v>2</v>
      </c>
      <c r="H66" s="27" t="n"/>
      <c r="I66" s="27" t="inlineStr">
        <is>
          <t>Not started</t>
        </is>
      </c>
      <c r="J66" s="27" t="n">
        <v>0</v>
      </c>
      <c r="K66" s="27" t="n"/>
      <c r="L66" s="27" t="n"/>
      <c r="M66" s="27" t="n"/>
    </row>
    <row r="67">
      <c r="A67" s="26" t="inlineStr">
        <is>
          <t>2026-04-25</t>
        </is>
      </c>
      <c r="B67" s="26" t="n">
        <v>6</v>
      </c>
      <c r="C67" s="26" t="inlineStr">
        <is>
          <t>Sat</t>
        </is>
      </c>
      <c r="D67" s="26" t="inlineStr">
        <is>
          <t>Kubernetes</t>
        </is>
      </c>
      <c r="E67" s="26" t="inlineStr">
        <is>
          <t>Helm Lab</t>
        </is>
      </c>
      <c r="F67" s="3" t="inlineStr">
        <is>
          <t>Helm chart for 3-tier app; staging/prod values; upgrade</t>
        </is>
      </c>
      <c r="G67" s="26" t="n">
        <v>2</v>
      </c>
      <c r="H67" s="26" t="n"/>
      <c r="I67" s="26" t="inlineStr">
        <is>
          <t>Not started</t>
        </is>
      </c>
      <c r="J67" s="26" t="n">
        <v>0</v>
      </c>
      <c r="K67" s="26" t="n"/>
      <c r="L67" s="26" t="n"/>
      <c r="M67" s="26" t="n"/>
    </row>
    <row r="68">
      <c r="A68" s="27" t="inlineStr">
        <is>
          <t>2026-04-26</t>
        </is>
      </c>
      <c r="B68" s="27" t="n">
        <v>6</v>
      </c>
      <c r="C68" s="27" t="inlineStr">
        <is>
          <t>Sun</t>
        </is>
      </c>
      <c r="D68" s="27" t="inlineStr">
        <is>
          <t>Kubernetes</t>
        </is>
      </c>
      <c r="E68" s="27" t="inlineStr">
        <is>
          <t>K8s Adv Review</t>
        </is>
      </c>
      <c r="F68" s="28" t="inlineStr">
        <is>
          <t>Notes + apply 8 jobs; plan Week 7</t>
        </is>
      </c>
      <c r="G68" s="27" t="n">
        <v>1.5</v>
      </c>
      <c r="H68" s="27" t="n"/>
      <c r="I68" s="27" t="inlineStr">
        <is>
          <t>Not started</t>
        </is>
      </c>
      <c r="J68" s="27" t="n">
        <v>0</v>
      </c>
      <c r="K68" s="27" t="n"/>
      <c r="L68" s="27" t="n"/>
      <c r="M68" s="27" t="n"/>
    </row>
    <row r="69" ht="24" customHeight="1" s="52">
      <c r="A69" s="26" t="inlineStr">
        <is>
          <t>2026-04-27</t>
        </is>
      </c>
      <c r="B69" s="26" t="n">
        <v>6</v>
      </c>
      <c r="C69" s="26" t="inlineStr">
        <is>
          <t>Mon</t>
        </is>
      </c>
      <c r="D69" s="26" t="inlineStr">
        <is>
          <t>Kubernetes</t>
        </is>
      </c>
      <c r="E69" s="26" t="inlineStr">
        <is>
          <t>HPA + Network Policy</t>
        </is>
      </c>
      <c r="F69" s="3" t="inlineStr">
        <is>
          <t>HPA CPU/mem; KEDA intro; NetworkPolicy ingress/egress</t>
        </is>
      </c>
      <c r="G69" s="26" t="n">
        <v>1.5</v>
      </c>
      <c r="H69" s="26" t="n"/>
      <c r="I69" s="26" t="inlineStr">
        <is>
          <t>Not started</t>
        </is>
      </c>
      <c r="J69" s="26" t="n">
        <v>0</v>
      </c>
      <c r="K69" s="26" t="n"/>
      <c r="L69" s="26" t="n"/>
      <c r="M69" s="26" t="n"/>
    </row>
    <row r="70" ht="24" customHeight="1" s="52">
      <c r="A70" s="27" t="inlineStr">
        <is>
          <t>2026-04-27</t>
        </is>
      </c>
      <c r="B70" s="27" t="n">
        <v>6</v>
      </c>
      <c r="C70" s="27" t="inlineStr">
        <is>
          <t>Mon</t>
        </is>
      </c>
      <c r="D70" s="27" t="inlineStr">
        <is>
          <t>Kubernetes</t>
        </is>
      </c>
      <c r="E70" s="27" t="inlineStr">
        <is>
          <t>K8s Lab</t>
        </is>
      </c>
      <c r="F70" s="28" t="inlineStr">
        <is>
          <t>HPA demo under load; NetworkPolicy block unwanted traffic</t>
        </is>
      </c>
      <c r="G70" s="27" t="n">
        <v>1.5</v>
      </c>
      <c r="H70" s="27" t="n"/>
      <c r="I70" s="27" t="inlineStr">
        <is>
          <t>Not started</t>
        </is>
      </c>
      <c r="J70" s="27" t="n">
        <v>0</v>
      </c>
      <c r="K70" s="27" t="n"/>
      <c r="L70" s="27" t="n"/>
      <c r="M70" s="27" t="n"/>
    </row>
    <row r="71">
      <c r="A71" s="26" t="inlineStr">
        <is>
          <t>2026-04-28</t>
        </is>
      </c>
      <c r="B71" s="26" t="n">
        <v>6</v>
      </c>
      <c r="C71" s="26" t="inlineStr">
        <is>
          <t>Tue</t>
        </is>
      </c>
      <c r="D71" s="26" t="inlineStr">
        <is>
          <t>Kubernetes</t>
        </is>
      </c>
      <c r="E71" s="26" t="inlineStr">
        <is>
          <t>Ingress + Nginx</t>
        </is>
      </c>
      <c r="F71" s="3" t="inlineStr">
        <is>
          <t>Nginx Ingress Controller; TLS termination; path routing</t>
        </is>
      </c>
      <c r="G71" s="26" t="n">
        <v>1.5</v>
      </c>
      <c r="H71" s="26" t="n"/>
      <c r="I71" s="26" t="inlineStr">
        <is>
          <t>Not started</t>
        </is>
      </c>
      <c r="J71" s="26" t="n">
        <v>0</v>
      </c>
      <c r="K71" s="26" t="n"/>
      <c r="L71" s="26" t="n"/>
      <c r="M71" s="26" t="n"/>
    </row>
    <row r="72">
      <c r="A72" s="27" t="inlineStr">
        <is>
          <t>2026-04-28</t>
        </is>
      </c>
      <c r="B72" s="27" t="n">
        <v>6</v>
      </c>
      <c r="C72" s="27" t="inlineStr">
        <is>
          <t>Tue</t>
        </is>
      </c>
      <c r="D72" s="27" t="inlineStr">
        <is>
          <t>Kubernetes</t>
        </is>
      </c>
      <c r="E72" s="27" t="inlineStr">
        <is>
          <t>Ingress Lab</t>
        </is>
      </c>
      <c r="F72" s="28" t="inlineStr">
        <is>
          <t>Expose app via Ingress; TLS cert via cert-manager</t>
        </is>
      </c>
      <c r="G72" s="27" t="n">
        <v>1.5</v>
      </c>
      <c r="H72" s="27" t="n"/>
      <c r="I72" s="27" t="inlineStr">
        <is>
          <t>Not started</t>
        </is>
      </c>
      <c r="J72" s="27" t="n">
        <v>0</v>
      </c>
      <c r="K72" s="27" t="n"/>
      <c r="L72" s="27" t="n"/>
      <c r="M72" s="27" t="n"/>
    </row>
    <row r="73" ht="24" customHeight="1" s="52">
      <c r="A73" s="26" t="inlineStr">
        <is>
          <t>2026-04-29</t>
        </is>
      </c>
      <c r="B73" s="26" t="n">
        <v>6</v>
      </c>
      <c r="C73" s="26" t="inlineStr">
        <is>
          <t>Wed</t>
        </is>
      </c>
      <c r="D73" s="26" t="inlineStr">
        <is>
          <t>Kubernetes</t>
        </is>
      </c>
      <c r="E73" s="26" t="inlineStr">
        <is>
          <t>Pod Security</t>
        </is>
      </c>
      <c r="F73" s="3" t="inlineStr">
        <is>
          <t>Pod Security Standards; securityContext; OPA/Gatekeeper intro</t>
        </is>
      </c>
      <c r="G73" s="26" t="n">
        <v>1.5</v>
      </c>
      <c r="H73" s="26" t="n"/>
      <c r="I73" s="26" t="inlineStr">
        <is>
          <t>Not started</t>
        </is>
      </c>
      <c r="J73" s="26" t="n">
        <v>0</v>
      </c>
      <c r="K73" s="26" t="n"/>
      <c r="L73" s="26" t="n"/>
      <c r="M73" s="26" t="n"/>
    </row>
    <row r="74">
      <c r="A74" s="27" t="inlineStr">
        <is>
          <t>2026-04-29</t>
        </is>
      </c>
      <c r="B74" s="27" t="n">
        <v>6</v>
      </c>
      <c r="C74" s="27" t="inlineStr">
        <is>
          <t>Wed</t>
        </is>
      </c>
      <c r="D74" s="27" t="inlineStr">
        <is>
          <t>Interview Prep</t>
        </is>
      </c>
      <c r="E74" s="27" t="inlineStr">
        <is>
          <t>K8s Adv Q&amp;A</t>
        </is>
      </c>
      <c r="F74" s="28" t="inlineStr">
        <is>
          <t>RBAC + Helm + HPA + security interview Qs x25</t>
        </is>
      </c>
      <c r="G74" s="27" t="n">
        <v>1.5</v>
      </c>
      <c r="H74" s="27" t="n"/>
      <c r="I74" s="27" t="inlineStr">
        <is>
          <t>Not started</t>
        </is>
      </c>
      <c r="J74" s="27" t="n">
        <v>0</v>
      </c>
      <c r="K74" s="27" t="n"/>
      <c r="L74" s="27" t="n"/>
      <c r="M74" s="27" t="n"/>
    </row>
    <row r="75" ht="24" customHeight="1" s="52">
      <c r="A75" s="26" t="inlineStr">
        <is>
          <t>2026-04-30</t>
        </is>
      </c>
      <c r="B75" s="26" t="n">
        <v>6</v>
      </c>
      <c r="C75" s="26" t="inlineStr">
        <is>
          <t>Thu</t>
        </is>
      </c>
      <c r="D75" s="26" t="inlineStr">
        <is>
          <t>Kubernetes</t>
        </is>
      </c>
      <c r="E75" s="26" t="inlineStr">
        <is>
          <t>K8s Project</t>
        </is>
      </c>
      <c r="F75" s="3" t="inlineStr">
        <is>
          <t>Helm + RBAC + HPA + NetPol + Ingress + TLS all together</t>
        </is>
      </c>
      <c r="G75" s="26" t="n">
        <v>2</v>
      </c>
      <c r="H75" s="26" t="n"/>
      <c r="I75" s="26" t="inlineStr">
        <is>
          <t>Not started</t>
        </is>
      </c>
      <c r="J75" s="26" t="n">
        <v>0</v>
      </c>
      <c r="K75" s="26" t="n"/>
      <c r="L75" s="26" t="n"/>
      <c r="M75" s="26" t="n"/>
    </row>
    <row r="76" ht="24" customHeight="1" s="52">
      <c r="A76" s="27" t="inlineStr">
        <is>
          <t>2026-05-01</t>
        </is>
      </c>
      <c r="B76" s="27" t="n">
        <v>7</v>
      </c>
      <c r="C76" s="27" t="inlineStr">
        <is>
          <t>Fri</t>
        </is>
      </c>
      <c r="D76" s="27" t="inlineStr">
        <is>
          <t>Terraform</t>
        </is>
      </c>
      <c r="E76" s="27" t="inlineStr">
        <is>
          <t>TF State Advanced</t>
        </is>
      </c>
      <c r="F76" s="28" t="inlineStr">
        <is>
          <t>Remote state S3+DynamoDB; locking; state mv/rm/import</t>
        </is>
      </c>
      <c r="G76" s="27" t="n">
        <v>1.5</v>
      </c>
      <c r="H76" s="27" t="n"/>
      <c r="I76" s="27" t="inlineStr">
        <is>
          <t>Not started</t>
        </is>
      </c>
      <c r="J76" s="27" t="n">
        <v>0</v>
      </c>
      <c r="K76" s="27" t="n"/>
      <c r="L76" s="27" t="n"/>
      <c r="M76" s="27" t="n"/>
    </row>
    <row r="77">
      <c r="A77" s="26" t="inlineStr">
        <is>
          <t>2026-05-01</t>
        </is>
      </c>
      <c r="B77" s="26" t="n">
        <v>7</v>
      </c>
      <c r="C77" s="26" t="inlineStr">
        <is>
          <t>Fri</t>
        </is>
      </c>
      <c r="D77" s="26" t="inlineStr">
        <is>
          <t>Terraform</t>
        </is>
      </c>
      <c r="E77" s="26" t="inlineStr">
        <is>
          <t>TF Lab</t>
        </is>
      </c>
      <c r="F77" s="3" t="inlineStr">
        <is>
          <t>Remote backend setup; import existing AWS resource</t>
        </is>
      </c>
      <c r="G77" s="26" t="n">
        <v>1.5</v>
      </c>
      <c r="H77" s="26" t="n"/>
      <c r="I77" s="26" t="inlineStr">
        <is>
          <t>Not started</t>
        </is>
      </c>
      <c r="J77" s="26" t="n">
        <v>0</v>
      </c>
      <c r="K77" s="26" t="n"/>
      <c r="L77" s="26" t="n"/>
      <c r="M77" s="26" t="n"/>
    </row>
    <row r="78">
      <c r="A78" s="27" t="inlineStr">
        <is>
          <t>2026-05-02</t>
        </is>
      </c>
      <c r="B78" s="27" t="n">
        <v>7</v>
      </c>
      <c r="C78" s="27" t="inlineStr">
        <is>
          <t>Sat</t>
        </is>
      </c>
      <c r="D78" s="27" t="inlineStr">
        <is>
          <t>Terraform</t>
        </is>
      </c>
      <c r="E78" s="27" t="inlineStr">
        <is>
          <t>TF Modules</t>
        </is>
      </c>
      <c r="F78" s="28" t="inlineStr">
        <is>
          <t>Module structure; input/output; versioning; registry</t>
        </is>
      </c>
      <c r="G78" s="27" t="n">
        <v>2</v>
      </c>
      <c r="H78" s="27" t="n"/>
      <c r="I78" s="27" t="inlineStr">
        <is>
          <t>Not started</t>
        </is>
      </c>
      <c r="J78" s="27" t="n">
        <v>0</v>
      </c>
      <c r="K78" s="27" t="n"/>
      <c r="L78" s="27" t="n"/>
      <c r="M78" s="27" t="n"/>
    </row>
    <row r="79">
      <c r="A79" s="26" t="inlineStr">
        <is>
          <t>2026-05-02</t>
        </is>
      </c>
      <c r="B79" s="26" t="n">
        <v>7</v>
      </c>
      <c r="C79" s="26" t="inlineStr">
        <is>
          <t>Sat</t>
        </is>
      </c>
      <c r="D79" s="26" t="inlineStr">
        <is>
          <t>Terraform</t>
        </is>
      </c>
      <c r="E79" s="26" t="inlineStr">
        <is>
          <t>TF Lab</t>
        </is>
      </c>
      <c r="F79" s="3" t="inlineStr">
        <is>
          <t>Build reusable VPC module + EC2 module; publish</t>
        </is>
      </c>
      <c r="G79" s="26" t="n">
        <v>2</v>
      </c>
      <c r="H79" s="26" t="n"/>
      <c r="I79" s="26" t="inlineStr">
        <is>
          <t>Not started</t>
        </is>
      </c>
      <c r="J79" s="26" t="n">
        <v>0</v>
      </c>
      <c r="K79" s="26" t="n"/>
      <c r="L79" s="26" t="n"/>
      <c r="M79" s="26" t="n"/>
    </row>
    <row r="80">
      <c r="A80" s="27" t="inlineStr">
        <is>
          <t>2026-05-03</t>
        </is>
      </c>
      <c r="B80" s="27" t="n">
        <v>7</v>
      </c>
      <c r="C80" s="27" t="inlineStr">
        <is>
          <t>Sun</t>
        </is>
      </c>
      <c r="D80" s="27" t="inlineStr">
        <is>
          <t>Terraform</t>
        </is>
      </c>
      <c r="E80" s="27" t="inlineStr">
        <is>
          <t>TF Review</t>
        </is>
      </c>
      <c r="F80" s="28" t="inlineStr">
        <is>
          <t>Notes + apply 5 jobs; plan Week 8</t>
        </is>
      </c>
      <c r="G80" s="27" t="n">
        <v>1.5</v>
      </c>
      <c r="H80" s="27" t="n"/>
      <c r="I80" s="27" t="inlineStr">
        <is>
          <t>Not started</t>
        </is>
      </c>
      <c r="J80" s="27" t="n">
        <v>0</v>
      </c>
      <c r="K80" s="27" t="n"/>
      <c r="L80" s="27" t="n"/>
      <c r="M80" s="27" t="n"/>
    </row>
    <row r="81">
      <c r="A81" s="26" t="inlineStr">
        <is>
          <t>2026-05-04</t>
        </is>
      </c>
      <c r="B81" s="26" t="n">
        <v>7</v>
      </c>
      <c r="C81" s="26" t="inlineStr">
        <is>
          <t>Mon</t>
        </is>
      </c>
      <c r="D81" s="26" t="inlineStr">
        <is>
          <t>Terraform</t>
        </is>
      </c>
      <c r="E81" s="26" t="inlineStr">
        <is>
          <t>TF Advanced</t>
        </is>
      </c>
      <c r="F81" s="3" t="inlineStr">
        <is>
          <t>for_each, count, dynamic blocks, locals, conditions</t>
        </is>
      </c>
      <c r="G81" s="26" t="n">
        <v>1.5</v>
      </c>
      <c r="H81" s="26" t="n"/>
      <c r="I81" s="26" t="inlineStr">
        <is>
          <t>Not started</t>
        </is>
      </c>
      <c r="J81" s="26" t="n">
        <v>0</v>
      </c>
      <c r="K81" s="26" t="n"/>
      <c r="L81" s="26" t="n"/>
      <c r="M81" s="26" t="n"/>
    </row>
    <row r="82">
      <c r="A82" s="27" t="inlineStr">
        <is>
          <t>2026-05-04</t>
        </is>
      </c>
      <c r="B82" s="27" t="n">
        <v>7</v>
      </c>
      <c r="C82" s="27" t="inlineStr">
        <is>
          <t>Mon</t>
        </is>
      </c>
      <c r="D82" s="27" t="inlineStr">
        <is>
          <t>Terraform</t>
        </is>
      </c>
      <c r="E82" s="27" t="inlineStr">
        <is>
          <t>TF Lab</t>
        </is>
      </c>
      <c r="F82" s="28" t="inlineStr">
        <is>
          <t>Provision 3 envs (dev/stg/prd) with for_each</t>
        </is>
      </c>
      <c r="G82" s="27" t="n">
        <v>1.5</v>
      </c>
      <c r="H82" s="27" t="n"/>
      <c r="I82" s="27" t="inlineStr">
        <is>
          <t>Not started</t>
        </is>
      </c>
      <c r="J82" s="27" t="n">
        <v>0</v>
      </c>
      <c r="K82" s="27" t="n"/>
      <c r="L82" s="27" t="n"/>
      <c r="M82" s="27" t="n"/>
    </row>
    <row r="83" ht="24" customHeight="1" s="52">
      <c r="A83" s="26" t="inlineStr">
        <is>
          <t>2026-05-05</t>
        </is>
      </c>
      <c r="B83" s="26" t="n">
        <v>7</v>
      </c>
      <c r="C83" s="26" t="inlineStr">
        <is>
          <t>Tue</t>
        </is>
      </c>
      <c r="D83" s="26" t="inlineStr">
        <is>
          <t>Terraform</t>
        </is>
      </c>
      <c r="E83" s="26" t="inlineStr">
        <is>
          <t>Atlantis</t>
        </is>
      </c>
      <c r="F83" s="3" t="inlineStr">
        <is>
          <t>Atlantis PR workflow; plan+apply on merge; policy checks</t>
        </is>
      </c>
      <c r="G83" s="26" t="n">
        <v>1.5</v>
      </c>
      <c r="H83" s="26" t="n"/>
      <c r="I83" s="26" t="inlineStr">
        <is>
          <t>Not started</t>
        </is>
      </c>
      <c r="J83" s="26" t="n">
        <v>0</v>
      </c>
      <c r="K83" s="26" t="n"/>
      <c r="L83" s="26" t="n"/>
      <c r="M83" s="26" t="n"/>
    </row>
    <row r="84">
      <c r="A84" s="27" t="inlineStr">
        <is>
          <t>2026-05-05</t>
        </is>
      </c>
      <c r="B84" s="27" t="n">
        <v>7</v>
      </c>
      <c r="C84" s="27" t="inlineStr">
        <is>
          <t>Tue</t>
        </is>
      </c>
      <c r="D84" s="27" t="inlineStr">
        <is>
          <t>Terraform</t>
        </is>
      </c>
      <c r="E84" s="27" t="inlineStr">
        <is>
          <t>Atlantis Lab</t>
        </is>
      </c>
      <c r="F84" s="28" t="inlineStr">
        <is>
          <t>Atlantis on EC2; plan on PR; apply on merge approval</t>
        </is>
      </c>
      <c r="G84" s="27" t="n">
        <v>1.5</v>
      </c>
      <c r="H84" s="27" t="n"/>
      <c r="I84" s="27" t="inlineStr">
        <is>
          <t>Not started</t>
        </is>
      </c>
      <c r="J84" s="27" t="n">
        <v>0</v>
      </c>
      <c r="K84" s="27" t="n"/>
      <c r="L84" s="27" t="n"/>
      <c r="M84" s="27" t="n"/>
    </row>
    <row r="85">
      <c r="A85" s="26" t="inlineStr">
        <is>
          <t>2026-05-06</t>
        </is>
      </c>
      <c r="B85" s="26" t="n">
        <v>7</v>
      </c>
      <c r="C85" s="26" t="inlineStr">
        <is>
          <t>Wed</t>
        </is>
      </c>
      <c r="D85" s="26" t="inlineStr">
        <is>
          <t>Terraform</t>
        </is>
      </c>
      <c r="E85" s="26" t="inlineStr">
        <is>
          <t>Terragrunt</t>
        </is>
      </c>
      <c r="F85" s="3" t="inlineStr">
        <is>
          <t>DRY Terraform; Terragrunt keep_your_code_dry pattern</t>
        </is>
      </c>
      <c r="G85" s="26" t="n">
        <v>1.5</v>
      </c>
      <c r="H85" s="26" t="n"/>
      <c r="I85" s="26" t="inlineStr">
        <is>
          <t>Not started</t>
        </is>
      </c>
      <c r="J85" s="26" t="n">
        <v>0</v>
      </c>
      <c r="K85" s="26" t="n"/>
      <c r="L85" s="26" t="n"/>
      <c r="M85" s="26" t="n"/>
    </row>
    <row r="86">
      <c r="A86" s="27" t="inlineStr">
        <is>
          <t>2026-05-06</t>
        </is>
      </c>
      <c r="B86" s="27" t="n">
        <v>7</v>
      </c>
      <c r="C86" s="27" t="inlineStr">
        <is>
          <t>Wed</t>
        </is>
      </c>
      <c r="D86" s="27" t="inlineStr">
        <is>
          <t>Interview Prep</t>
        </is>
      </c>
      <c r="E86" s="27" t="inlineStr">
        <is>
          <t>TF Q&amp;A</t>
        </is>
      </c>
      <c r="F86" s="28" t="inlineStr">
        <is>
          <t>Terraform interview Qs x25; state troubleshooting</t>
        </is>
      </c>
      <c r="G86" s="27" t="n">
        <v>1.5</v>
      </c>
      <c r="H86" s="27" t="n"/>
      <c r="I86" s="27" t="inlineStr">
        <is>
          <t>Not started</t>
        </is>
      </c>
      <c r="J86" s="27" t="n">
        <v>0</v>
      </c>
      <c r="K86" s="27" t="n"/>
      <c r="L86" s="27" t="n"/>
      <c r="M86" s="27" t="n"/>
    </row>
    <row r="87" ht="24" customHeight="1" s="52">
      <c r="A87" s="26" t="inlineStr">
        <is>
          <t>2026-05-07</t>
        </is>
      </c>
      <c r="B87" s="26" t="n">
        <v>7</v>
      </c>
      <c r="C87" s="26" t="inlineStr">
        <is>
          <t>Thu</t>
        </is>
      </c>
      <c r="D87" s="26" t="inlineStr">
        <is>
          <t>Terraform</t>
        </is>
      </c>
      <c r="E87" s="26" t="inlineStr">
        <is>
          <t>TF Full Lab</t>
        </is>
      </c>
      <c r="F87" s="3" t="inlineStr">
        <is>
          <t>Full AWS stack: VPC+EC2+RDS+ALB+ASG using modules</t>
        </is>
      </c>
      <c r="G87" s="26" t="n">
        <v>2</v>
      </c>
      <c r="H87" s="26" t="n"/>
      <c r="I87" s="26" t="inlineStr">
        <is>
          <t>Not started</t>
        </is>
      </c>
      <c r="J87" s="26" t="n">
        <v>0</v>
      </c>
      <c r="K87" s="26" t="n"/>
      <c r="L87" s="26" t="n"/>
      <c r="M87" s="26" t="n"/>
    </row>
    <row r="88" ht="24" customHeight="1" s="52">
      <c r="A88" s="27" t="inlineStr">
        <is>
          <t>2026-05-08</t>
        </is>
      </c>
      <c r="B88" s="27" t="n">
        <v>8</v>
      </c>
      <c r="C88" s="27" t="inlineStr">
        <is>
          <t>Fri</t>
        </is>
      </c>
      <c r="D88" s="27" t="inlineStr">
        <is>
          <t>AWS</t>
        </is>
      </c>
      <c r="E88" s="27" t="inlineStr">
        <is>
          <t>IAM Advanced</t>
        </is>
      </c>
      <c r="F88" s="28" t="inlineStr">
        <is>
          <t>Permission boundaries; SCP; inline vs managed; conditions</t>
        </is>
      </c>
      <c r="G88" s="27" t="n">
        <v>1.5</v>
      </c>
      <c r="H88" s="27" t="n"/>
      <c r="I88" s="27" t="inlineStr">
        <is>
          <t>Not started</t>
        </is>
      </c>
      <c r="J88" s="27" t="n">
        <v>0</v>
      </c>
      <c r="K88" s="27" t="n"/>
      <c r="L88" s="27" t="n"/>
      <c r="M88" s="27" t="n"/>
    </row>
    <row r="89" ht="24" customHeight="1" s="52">
      <c r="A89" s="26" t="inlineStr">
        <is>
          <t>2026-05-08</t>
        </is>
      </c>
      <c r="B89" s="26" t="n">
        <v>8</v>
      </c>
      <c r="C89" s="26" t="inlineStr">
        <is>
          <t>Fri</t>
        </is>
      </c>
      <c r="D89" s="26" t="inlineStr">
        <is>
          <t>AWS</t>
        </is>
      </c>
      <c r="E89" s="26" t="inlineStr">
        <is>
          <t>IAM Lab</t>
        </is>
      </c>
      <c r="F89" s="3" t="inlineStr">
        <is>
          <t>Cross-account assume-role; SCP deny non-approved regions</t>
        </is>
      </c>
      <c r="G89" s="26" t="n">
        <v>1.5</v>
      </c>
      <c r="H89" s="26" t="n"/>
      <c r="I89" s="26" t="inlineStr">
        <is>
          <t>Not started</t>
        </is>
      </c>
      <c r="J89" s="26" t="n">
        <v>0</v>
      </c>
      <c r="K89" s="26" t="n"/>
      <c r="L89" s="26" t="n"/>
      <c r="M89" s="26" t="n"/>
    </row>
    <row r="90" ht="24" customHeight="1" s="52">
      <c r="A90" s="27" t="inlineStr">
        <is>
          <t>2026-05-09</t>
        </is>
      </c>
      <c r="B90" s="27" t="n">
        <v>8</v>
      </c>
      <c r="C90" s="27" t="inlineStr">
        <is>
          <t>Sat</t>
        </is>
      </c>
      <c r="D90" s="27" t="inlineStr">
        <is>
          <t>AWS</t>
        </is>
      </c>
      <c r="E90" s="27" t="inlineStr">
        <is>
          <t>VPC Advanced</t>
        </is>
      </c>
      <c r="F90" s="28" t="inlineStr">
        <is>
          <t>TGW; VPC peering; PrivateLink; VPN; Direct Connect concepts</t>
        </is>
      </c>
      <c r="G90" s="27" t="n">
        <v>2</v>
      </c>
      <c r="H90" s="27" t="n"/>
      <c r="I90" s="27" t="inlineStr">
        <is>
          <t>Not started</t>
        </is>
      </c>
      <c r="J90" s="27" t="n">
        <v>0</v>
      </c>
      <c r="K90" s="27" t="n"/>
      <c r="L90" s="27" t="n"/>
      <c r="M90" s="27" t="n"/>
    </row>
    <row r="91" ht="24" customHeight="1" s="52">
      <c r="A91" s="26" t="inlineStr">
        <is>
          <t>2026-05-09</t>
        </is>
      </c>
      <c r="B91" s="26" t="n">
        <v>8</v>
      </c>
      <c r="C91" s="26" t="inlineStr">
        <is>
          <t>Sat</t>
        </is>
      </c>
      <c r="D91" s="26" t="inlineStr">
        <is>
          <t>AWS</t>
        </is>
      </c>
      <c r="E91" s="26" t="inlineStr">
        <is>
          <t>VPC Lab</t>
        </is>
      </c>
      <c r="F91" s="3" t="inlineStr">
        <is>
          <t>TGW connect 2 VPCs; private subnet routing; NAT Gateway</t>
        </is>
      </c>
      <c r="G91" s="26" t="n">
        <v>2</v>
      </c>
      <c r="H91" s="26" t="n"/>
      <c r="I91" s="26" t="inlineStr">
        <is>
          <t>Not started</t>
        </is>
      </c>
      <c r="J91" s="26" t="n">
        <v>0</v>
      </c>
      <c r="K91" s="26" t="n"/>
      <c r="L91" s="26" t="n"/>
      <c r="M91" s="26" t="n"/>
    </row>
    <row r="92">
      <c r="A92" s="27" t="inlineStr">
        <is>
          <t>2026-05-10</t>
        </is>
      </c>
      <c r="B92" s="27" t="n">
        <v>8</v>
      </c>
      <c r="C92" s="27" t="inlineStr">
        <is>
          <t>Sun</t>
        </is>
      </c>
      <c r="D92" s="27" t="inlineStr">
        <is>
          <t>AWS</t>
        </is>
      </c>
      <c r="E92" s="27" t="inlineStr">
        <is>
          <t>AWS Review</t>
        </is>
      </c>
      <c r="F92" s="28" t="inlineStr">
        <is>
          <t>Notes + apply 8 jobs; plan Week 9</t>
        </is>
      </c>
      <c r="G92" s="27" t="n">
        <v>1.5</v>
      </c>
      <c r="H92" s="27" t="n"/>
      <c r="I92" s="27" t="inlineStr">
        <is>
          <t>Not started</t>
        </is>
      </c>
      <c r="J92" s="27" t="n">
        <v>0</v>
      </c>
      <c r="K92" s="27" t="n"/>
      <c r="L92" s="27" t="n"/>
      <c r="M92" s="27" t="n"/>
    </row>
    <row r="93" ht="24" customHeight="1" s="52">
      <c r="A93" s="26" t="inlineStr">
        <is>
          <t>2026-05-11</t>
        </is>
      </c>
      <c r="B93" s="26" t="n">
        <v>8</v>
      </c>
      <c r="C93" s="26" t="inlineStr">
        <is>
          <t>Mon</t>
        </is>
      </c>
      <c r="D93" s="26" t="inlineStr">
        <is>
          <t>AWS</t>
        </is>
      </c>
      <c r="E93" s="26" t="inlineStr">
        <is>
          <t>EC2 + ASG Advanced</t>
        </is>
      </c>
      <c r="F93" s="3" t="inlineStr">
        <is>
          <t>Launch templates; lifecycle hooks; mixed instances; spot</t>
        </is>
      </c>
      <c r="G93" s="26" t="n">
        <v>1.5</v>
      </c>
      <c r="H93" s="26" t="n"/>
      <c r="I93" s="26" t="inlineStr">
        <is>
          <t>Not started</t>
        </is>
      </c>
      <c r="J93" s="26" t="n">
        <v>0</v>
      </c>
      <c r="K93" s="26" t="n"/>
      <c r="L93" s="26" t="n"/>
      <c r="M93" s="26" t="n"/>
    </row>
    <row r="94" ht="24" customHeight="1" s="52">
      <c r="A94" s="27" t="inlineStr">
        <is>
          <t>2026-05-11</t>
        </is>
      </c>
      <c r="B94" s="27" t="n">
        <v>8</v>
      </c>
      <c r="C94" s="27" t="inlineStr">
        <is>
          <t>Mon</t>
        </is>
      </c>
      <c r="D94" s="27" t="inlineStr">
        <is>
          <t>AWS</t>
        </is>
      </c>
      <c r="E94" s="27" t="inlineStr">
        <is>
          <t>EC2 Lab</t>
        </is>
      </c>
      <c r="F94" s="28" t="inlineStr">
        <is>
          <t>ASG lifecycle hook for graceful drain; spot+on-demand mix</t>
        </is>
      </c>
      <c r="G94" s="27" t="n">
        <v>1.5</v>
      </c>
      <c r="H94" s="27" t="n"/>
      <c r="I94" s="27" t="inlineStr">
        <is>
          <t>Not started</t>
        </is>
      </c>
      <c r="J94" s="27" t="n">
        <v>0</v>
      </c>
      <c r="K94" s="27" t="n"/>
      <c r="L94" s="27" t="n"/>
      <c r="M94" s="27" t="n"/>
    </row>
    <row r="95" ht="24" customHeight="1" s="52">
      <c r="A95" s="26" t="inlineStr">
        <is>
          <t>2026-05-12</t>
        </is>
      </c>
      <c r="B95" s="26" t="n">
        <v>8</v>
      </c>
      <c r="C95" s="26" t="inlineStr">
        <is>
          <t>Tue</t>
        </is>
      </c>
      <c r="D95" s="26" t="inlineStr">
        <is>
          <t>AWS</t>
        </is>
      </c>
      <c r="E95" s="26" t="inlineStr">
        <is>
          <t>S3 Advanced</t>
        </is>
      </c>
      <c r="F95" s="3" t="inlineStr">
        <is>
          <t>Versioning; lifecycle; replication; pre-signed URLs; events</t>
        </is>
      </c>
      <c r="G95" s="26" t="n">
        <v>1.5</v>
      </c>
      <c r="H95" s="26" t="n"/>
      <c r="I95" s="26" t="inlineStr">
        <is>
          <t>Not started</t>
        </is>
      </c>
      <c r="J95" s="26" t="n">
        <v>0</v>
      </c>
      <c r="K95" s="26" t="n"/>
      <c r="L95" s="26" t="n"/>
      <c r="M95" s="26" t="n"/>
    </row>
    <row r="96">
      <c r="A96" s="27" t="inlineStr">
        <is>
          <t>2026-05-12</t>
        </is>
      </c>
      <c r="B96" s="27" t="n">
        <v>8</v>
      </c>
      <c r="C96" s="27" t="inlineStr">
        <is>
          <t>Tue</t>
        </is>
      </c>
      <c r="D96" s="27" t="inlineStr">
        <is>
          <t>AWS</t>
        </is>
      </c>
      <c r="E96" s="27" t="inlineStr">
        <is>
          <t>S3 Lab</t>
        </is>
      </c>
      <c r="F96" s="28" t="inlineStr">
        <is>
          <t>S3 CRR; lifecycle to Glacier; S3 event → Lambda trigger</t>
        </is>
      </c>
      <c r="G96" s="27" t="n">
        <v>1.5</v>
      </c>
      <c r="H96" s="27" t="n"/>
      <c r="I96" s="27" t="inlineStr">
        <is>
          <t>Not started</t>
        </is>
      </c>
      <c r="J96" s="27" t="n">
        <v>0</v>
      </c>
      <c r="K96" s="27" t="n"/>
      <c r="L96" s="27" t="n"/>
      <c r="M96" s="27" t="n"/>
    </row>
    <row r="97" ht="24" customHeight="1" s="52">
      <c r="A97" s="26" t="inlineStr">
        <is>
          <t>2026-05-13</t>
        </is>
      </c>
      <c r="B97" s="26" t="n">
        <v>8</v>
      </c>
      <c r="C97" s="26" t="inlineStr">
        <is>
          <t>Wed</t>
        </is>
      </c>
      <c r="D97" s="26" t="inlineStr">
        <is>
          <t>AWS</t>
        </is>
      </c>
      <c r="E97" s="26" t="inlineStr">
        <is>
          <t>ALB + WAF</t>
        </is>
      </c>
      <c r="F97" s="3" t="inlineStr">
        <is>
          <t>ALB routing rules; target groups; HTTPS; WAF OWASP rules</t>
        </is>
      </c>
      <c r="G97" s="26" t="n">
        <v>1.5</v>
      </c>
      <c r="H97" s="26" t="n"/>
      <c r="I97" s="26" t="inlineStr">
        <is>
          <t>Not started</t>
        </is>
      </c>
      <c r="J97" s="26" t="n">
        <v>0</v>
      </c>
      <c r="K97" s="26" t="n"/>
      <c r="L97" s="26" t="n"/>
      <c r="M97" s="26" t="n"/>
    </row>
    <row r="98">
      <c r="A98" s="27" t="inlineStr">
        <is>
          <t>2026-05-13</t>
        </is>
      </c>
      <c r="B98" s="27" t="n">
        <v>8</v>
      </c>
      <c r="C98" s="27" t="inlineStr">
        <is>
          <t>Wed</t>
        </is>
      </c>
      <c r="D98" s="27" t="inlineStr">
        <is>
          <t>Interview Prep</t>
        </is>
      </c>
      <c r="E98" s="27" t="inlineStr">
        <is>
          <t>AWS Core Q&amp;A</t>
        </is>
      </c>
      <c r="F98" s="28" t="inlineStr">
        <is>
          <t>IAM + VPC + EC2 + S3 interview Qs x30</t>
        </is>
      </c>
      <c r="G98" s="27" t="n">
        <v>1.5</v>
      </c>
      <c r="H98" s="27" t="n"/>
      <c r="I98" s="27" t="inlineStr">
        <is>
          <t>Not started</t>
        </is>
      </c>
      <c r="J98" s="27" t="n">
        <v>0</v>
      </c>
      <c r="K98" s="27" t="n"/>
      <c r="L98" s="27" t="n"/>
      <c r="M98" s="27" t="n"/>
    </row>
    <row r="99" ht="24" customHeight="1" s="52">
      <c r="A99" s="26" t="inlineStr">
        <is>
          <t>2026-05-14</t>
        </is>
      </c>
      <c r="B99" s="26" t="n">
        <v>8</v>
      </c>
      <c r="C99" s="26" t="inlineStr">
        <is>
          <t>Thu</t>
        </is>
      </c>
      <c r="D99" s="26" t="inlineStr">
        <is>
          <t>AWS</t>
        </is>
      </c>
      <c r="E99" s="26" t="inlineStr">
        <is>
          <t>AWS Full Lab</t>
        </is>
      </c>
      <c r="F99" s="3" t="inlineStr">
        <is>
          <t>HA web stack: ALB+ASG+EC2+RDS+S3; Terraform provisioned</t>
        </is>
      </c>
      <c r="G99" s="26" t="n">
        <v>2</v>
      </c>
      <c r="H99" s="26" t="n"/>
      <c r="I99" s="26" t="inlineStr">
        <is>
          <t>Not started</t>
        </is>
      </c>
      <c r="J99" s="26" t="n">
        <v>0</v>
      </c>
      <c r="K99" s="26" t="n"/>
      <c r="L99" s="26" t="n"/>
      <c r="M99" s="26" t="n"/>
    </row>
    <row r="100">
      <c r="A100" s="27" t="inlineStr">
        <is>
          <t>2026-05-15</t>
        </is>
      </c>
      <c r="B100" s="27" t="n">
        <v>9</v>
      </c>
      <c r="C100" s="27" t="inlineStr">
        <is>
          <t>Fri</t>
        </is>
      </c>
      <c r="D100" s="27" t="inlineStr">
        <is>
          <t>AWS EKS</t>
        </is>
      </c>
      <c r="E100" s="27" t="inlineStr">
        <is>
          <t>EKS Architecture</t>
        </is>
      </c>
      <c r="F100" s="28" t="inlineStr">
        <is>
          <t>Managed vs self-managed; Fargate; EKS add-ons; CNI</t>
        </is>
      </c>
      <c r="G100" s="27" t="n">
        <v>1.5</v>
      </c>
      <c r="H100" s="27" t="n"/>
      <c r="I100" s="27" t="inlineStr">
        <is>
          <t>Not started</t>
        </is>
      </c>
      <c r="J100" s="27" t="n">
        <v>0</v>
      </c>
      <c r="K100" s="27" t="n"/>
      <c r="L100" s="27" t="n"/>
      <c r="M100" s="27" t="n"/>
    </row>
    <row r="101">
      <c r="A101" s="26" t="inlineStr">
        <is>
          <t>2026-05-15</t>
        </is>
      </c>
      <c r="B101" s="26" t="n">
        <v>9</v>
      </c>
      <c r="C101" s="26" t="inlineStr">
        <is>
          <t>Fri</t>
        </is>
      </c>
      <c r="D101" s="26" t="inlineStr">
        <is>
          <t>AWS EKS</t>
        </is>
      </c>
      <c r="E101" s="26" t="inlineStr">
        <is>
          <t>EKS Lab</t>
        </is>
      </c>
      <c r="F101" s="3" t="inlineStr">
        <is>
          <t>EKS cluster via Terraform or eksctl</t>
        </is>
      </c>
      <c r="G101" s="26" t="n">
        <v>1.5</v>
      </c>
      <c r="H101" s="26" t="n"/>
      <c r="I101" s="26" t="inlineStr">
        <is>
          <t>Not started</t>
        </is>
      </c>
      <c r="J101" s="26" t="n">
        <v>0</v>
      </c>
      <c r="K101" s="26" t="n"/>
      <c r="L101" s="26" t="n"/>
      <c r="M101" s="26" t="n"/>
    </row>
    <row r="102" ht="24" customHeight="1" s="52">
      <c r="A102" s="27" t="inlineStr">
        <is>
          <t>2026-05-16</t>
        </is>
      </c>
      <c r="B102" s="27" t="n">
        <v>9</v>
      </c>
      <c r="C102" s="27" t="inlineStr">
        <is>
          <t>Sat</t>
        </is>
      </c>
      <c r="D102" s="27" t="inlineStr">
        <is>
          <t>AWS EKS</t>
        </is>
      </c>
      <c r="E102" s="27" t="inlineStr">
        <is>
          <t>IRSA</t>
        </is>
      </c>
      <c r="F102" s="28" t="inlineStr">
        <is>
          <t>IAM Roles for Service Accounts; OIDC provider; token injection</t>
        </is>
      </c>
      <c r="G102" s="27" t="n">
        <v>2</v>
      </c>
      <c r="H102" s="27" t="n"/>
      <c r="I102" s="27" t="inlineStr">
        <is>
          <t>Not started</t>
        </is>
      </c>
      <c r="J102" s="27" t="n">
        <v>0</v>
      </c>
      <c r="K102" s="27" t="n"/>
      <c r="L102" s="27" t="n"/>
      <c r="M102" s="27" t="n"/>
    </row>
    <row r="103">
      <c r="A103" s="26" t="inlineStr">
        <is>
          <t>2026-05-16</t>
        </is>
      </c>
      <c r="B103" s="26" t="n">
        <v>9</v>
      </c>
      <c r="C103" s="26" t="inlineStr">
        <is>
          <t>Sat</t>
        </is>
      </c>
      <c r="D103" s="26" t="inlineStr">
        <is>
          <t>AWS EKS</t>
        </is>
      </c>
      <c r="E103" s="26" t="inlineStr">
        <is>
          <t>IRSA Lab</t>
        </is>
      </c>
      <c r="F103" s="3" t="inlineStr">
        <is>
          <t>IRSA for S3 access from pod; no long-lived keys</t>
        </is>
      </c>
      <c r="G103" s="26" t="n">
        <v>2</v>
      </c>
      <c r="H103" s="26" t="n"/>
      <c r="I103" s="26" t="inlineStr">
        <is>
          <t>Not started</t>
        </is>
      </c>
      <c r="J103" s="26" t="n">
        <v>0</v>
      </c>
      <c r="K103" s="26" t="n"/>
      <c r="L103" s="26" t="n"/>
      <c r="M103" s="26" t="n"/>
    </row>
    <row r="104">
      <c r="A104" s="27" t="inlineStr">
        <is>
          <t>2026-05-17</t>
        </is>
      </c>
      <c r="B104" s="27" t="n">
        <v>9</v>
      </c>
      <c r="C104" s="27" t="inlineStr">
        <is>
          <t>Sun</t>
        </is>
      </c>
      <c r="D104" s="27" t="inlineStr">
        <is>
          <t>AWS EKS</t>
        </is>
      </c>
      <c r="E104" s="27" t="inlineStr">
        <is>
          <t>EKS Review</t>
        </is>
      </c>
      <c r="F104" s="28" t="inlineStr">
        <is>
          <t>Notes + apply 5 jobs; plan Week 10</t>
        </is>
      </c>
      <c r="G104" s="27" t="n">
        <v>1.5</v>
      </c>
      <c r="H104" s="27" t="n"/>
      <c r="I104" s="27" t="inlineStr">
        <is>
          <t>Not started</t>
        </is>
      </c>
      <c r="J104" s="27" t="n">
        <v>0</v>
      </c>
      <c r="K104" s="27" t="n"/>
      <c r="L104" s="27" t="n"/>
      <c r="M104" s="27" t="n"/>
    </row>
    <row r="105" ht="24" customHeight="1" s="52">
      <c r="A105" s="26" t="inlineStr">
        <is>
          <t>2026-05-18</t>
        </is>
      </c>
      <c r="B105" s="26" t="n">
        <v>9</v>
      </c>
      <c r="C105" s="26" t="inlineStr">
        <is>
          <t>Mon</t>
        </is>
      </c>
      <c r="D105" s="26" t="inlineStr">
        <is>
          <t>AWS EKS</t>
        </is>
      </c>
      <c r="E105" s="26" t="inlineStr">
        <is>
          <t>AWS LB Controller</t>
        </is>
      </c>
      <c r="F105" s="3" t="inlineStr">
        <is>
          <t>NLB/ALB via Kubernetes Ingress; ExternalDNS; Route53</t>
        </is>
      </c>
      <c r="G105" s="26" t="n">
        <v>1.5</v>
      </c>
      <c r="H105" s="26" t="n"/>
      <c r="I105" s="26" t="inlineStr">
        <is>
          <t>Not started</t>
        </is>
      </c>
      <c r="J105" s="26" t="n">
        <v>0</v>
      </c>
      <c r="K105" s="26" t="n"/>
      <c r="L105" s="26" t="n"/>
      <c r="M105" s="26" t="n"/>
    </row>
    <row r="106" ht="24" customHeight="1" s="52">
      <c r="A106" s="27" t="inlineStr">
        <is>
          <t>2026-05-18</t>
        </is>
      </c>
      <c r="B106" s="27" t="n">
        <v>9</v>
      </c>
      <c r="C106" s="27" t="inlineStr">
        <is>
          <t>Mon</t>
        </is>
      </c>
      <c r="D106" s="27" t="inlineStr">
        <is>
          <t>AWS EKS</t>
        </is>
      </c>
      <c r="E106" s="27" t="inlineStr">
        <is>
          <t>EKS Lab</t>
        </is>
      </c>
      <c r="F106" s="28" t="inlineStr">
        <is>
          <t>Deploy AWS LB Controller; Ingress → NLB; ExternalDNS</t>
        </is>
      </c>
      <c r="G106" s="27" t="n">
        <v>1.5</v>
      </c>
      <c r="H106" s="27" t="n"/>
      <c r="I106" s="27" t="inlineStr">
        <is>
          <t>Not started</t>
        </is>
      </c>
      <c r="J106" s="27" t="n">
        <v>0</v>
      </c>
      <c r="K106" s="27" t="n"/>
      <c r="L106" s="27" t="n"/>
      <c r="M106" s="27" t="n"/>
    </row>
    <row r="107">
      <c r="A107" s="26" t="inlineStr">
        <is>
          <t>2026-05-19</t>
        </is>
      </c>
      <c r="B107" s="26" t="n">
        <v>9</v>
      </c>
      <c r="C107" s="26" t="inlineStr">
        <is>
          <t>Tue</t>
        </is>
      </c>
      <c r="D107" s="26" t="inlineStr">
        <is>
          <t>AWS EKS</t>
        </is>
      </c>
      <c r="E107" s="26" t="inlineStr">
        <is>
          <t>Cluster Autoscaler</t>
        </is>
      </c>
      <c r="F107" s="3" t="inlineStr">
        <is>
          <t>CA vs Karpenter; node group scaling; spot interruption</t>
        </is>
      </c>
      <c r="G107" s="26" t="n">
        <v>1.5</v>
      </c>
      <c r="H107" s="26" t="n"/>
      <c r="I107" s="26" t="inlineStr">
        <is>
          <t>Not started</t>
        </is>
      </c>
      <c r="J107" s="26" t="n">
        <v>0</v>
      </c>
      <c r="K107" s="26" t="n"/>
      <c r="L107" s="26" t="n"/>
      <c r="M107" s="26" t="n"/>
    </row>
    <row r="108">
      <c r="A108" s="27" t="inlineStr">
        <is>
          <t>2026-05-19</t>
        </is>
      </c>
      <c r="B108" s="27" t="n">
        <v>9</v>
      </c>
      <c r="C108" s="27" t="inlineStr">
        <is>
          <t>Tue</t>
        </is>
      </c>
      <c r="D108" s="27" t="inlineStr">
        <is>
          <t>AWS EKS</t>
        </is>
      </c>
      <c r="E108" s="27" t="inlineStr">
        <is>
          <t>EKS Lab</t>
        </is>
      </c>
      <c r="F108" s="28" t="inlineStr">
        <is>
          <t>Cluster Autoscaler; scale from 0; Karpenter provisioner</t>
        </is>
      </c>
      <c r="G108" s="27" t="n">
        <v>1.5</v>
      </c>
      <c r="H108" s="27" t="n"/>
      <c r="I108" s="27" t="inlineStr">
        <is>
          <t>Not started</t>
        </is>
      </c>
      <c r="J108" s="27" t="n">
        <v>0</v>
      </c>
      <c r="K108" s="27" t="n"/>
      <c r="L108" s="27" t="n"/>
      <c r="M108" s="27" t="n"/>
    </row>
    <row r="109">
      <c r="A109" s="26" t="inlineStr">
        <is>
          <t>2026-05-20</t>
        </is>
      </c>
      <c r="B109" s="26" t="n">
        <v>9</v>
      </c>
      <c r="C109" s="26" t="inlineStr">
        <is>
          <t>Wed</t>
        </is>
      </c>
      <c r="D109" s="26" t="inlineStr">
        <is>
          <t>AWS EKS</t>
        </is>
      </c>
      <c r="E109" s="26" t="inlineStr">
        <is>
          <t>ECR + Image Scanning</t>
        </is>
      </c>
      <c r="F109" s="3" t="inlineStr">
        <is>
          <t>ECR lifecycle; image scanning; scan-on-push; results</t>
        </is>
      </c>
      <c r="G109" s="26" t="n">
        <v>1.5</v>
      </c>
      <c r="H109" s="26" t="n"/>
      <c r="I109" s="26" t="inlineStr">
        <is>
          <t>Not started</t>
        </is>
      </c>
      <c r="J109" s="26" t="n">
        <v>0</v>
      </c>
      <c r="K109" s="26" t="n"/>
      <c r="L109" s="26" t="n"/>
      <c r="M109" s="26" t="n"/>
    </row>
    <row r="110">
      <c r="A110" s="27" t="inlineStr">
        <is>
          <t>2026-05-20</t>
        </is>
      </c>
      <c r="B110" s="27" t="n">
        <v>9</v>
      </c>
      <c r="C110" s="27" t="inlineStr">
        <is>
          <t>Wed</t>
        </is>
      </c>
      <c r="D110" s="27" t="inlineStr">
        <is>
          <t>Interview Prep</t>
        </is>
      </c>
      <c r="E110" s="27" t="inlineStr">
        <is>
          <t>EKS Q&amp;A</t>
        </is>
      </c>
      <c r="F110" s="28" t="inlineStr">
        <is>
          <t>EKS interview Qs x25; IRSA + CA + upgrade</t>
        </is>
      </c>
      <c r="G110" s="27" t="n">
        <v>1.5</v>
      </c>
      <c r="H110" s="27" t="n"/>
      <c r="I110" s="27" t="inlineStr">
        <is>
          <t>Not started</t>
        </is>
      </c>
      <c r="J110" s="27" t="n">
        <v>0</v>
      </c>
      <c r="K110" s="27" t="n"/>
      <c r="L110" s="27" t="n"/>
      <c r="M110" s="27" t="n"/>
    </row>
    <row r="111">
      <c r="A111" s="26" t="inlineStr">
        <is>
          <t>2026-05-21</t>
        </is>
      </c>
      <c r="B111" s="26" t="n">
        <v>9</v>
      </c>
      <c r="C111" s="26" t="inlineStr">
        <is>
          <t>Thu</t>
        </is>
      </c>
      <c r="D111" s="26" t="inlineStr">
        <is>
          <t>AWS EKS</t>
        </is>
      </c>
      <c r="E111" s="26" t="inlineStr">
        <is>
          <t>EKS Full Lab</t>
        </is>
      </c>
      <c r="F111" s="3" t="inlineStr">
        <is>
          <t>Prod-like EKS: IRSA+CA+ALB+DNS+ECR+monitoring</t>
        </is>
      </c>
      <c r="G111" s="26" t="n">
        <v>2</v>
      </c>
      <c r="H111" s="26" t="n"/>
      <c r="I111" s="26" t="inlineStr">
        <is>
          <t>Not started</t>
        </is>
      </c>
      <c r="J111" s="26" t="n">
        <v>0</v>
      </c>
      <c r="K111" s="26" t="n"/>
      <c r="L111" s="26" t="n"/>
      <c r="M111" s="26" t="n"/>
    </row>
    <row r="112">
      <c r="A112" s="27" t="inlineStr">
        <is>
          <t>2026-05-22</t>
        </is>
      </c>
      <c r="B112" s="27" t="n">
        <v>10</v>
      </c>
      <c r="C112" s="27" t="inlineStr">
        <is>
          <t>Fri</t>
        </is>
      </c>
      <c r="D112" s="27" t="inlineStr">
        <is>
          <t>AWS Advanced</t>
        </is>
      </c>
      <c r="E112" s="27" t="inlineStr">
        <is>
          <t>RDS Advanced</t>
        </is>
      </c>
      <c r="F112" s="28" t="inlineStr">
        <is>
          <t>Multi-AZ; read replicas; parameter groups; IAM auth</t>
        </is>
      </c>
      <c r="G112" s="27" t="n">
        <v>1.5</v>
      </c>
      <c r="H112" s="27" t="n"/>
      <c r="I112" s="27" t="inlineStr">
        <is>
          <t>Not started</t>
        </is>
      </c>
      <c r="J112" s="27" t="n">
        <v>0</v>
      </c>
      <c r="K112" s="27" t="n"/>
      <c r="L112" s="27" t="n"/>
      <c r="M112" s="27" t="n"/>
    </row>
    <row r="113" ht="24" customHeight="1" s="52">
      <c r="A113" s="26" t="inlineStr">
        <is>
          <t>2026-05-22</t>
        </is>
      </c>
      <c r="B113" s="26" t="n">
        <v>10</v>
      </c>
      <c r="C113" s="26" t="inlineStr">
        <is>
          <t>Fri</t>
        </is>
      </c>
      <c r="D113" s="26" t="inlineStr">
        <is>
          <t>AWS Advanced</t>
        </is>
      </c>
      <c r="E113" s="26" t="inlineStr">
        <is>
          <t>RDS Lab</t>
        </is>
      </c>
      <c r="F113" s="3" t="inlineStr">
        <is>
          <t>RDS Multi-AZ failover test; connect from app with IAM auth</t>
        </is>
      </c>
      <c r="G113" s="26" t="n">
        <v>1.5</v>
      </c>
      <c r="H113" s="26" t="n"/>
      <c r="I113" s="26" t="inlineStr">
        <is>
          <t>Not started</t>
        </is>
      </c>
      <c r="J113" s="26" t="n">
        <v>0</v>
      </c>
      <c r="K113" s="26" t="n"/>
      <c r="L113" s="26" t="n"/>
      <c r="M113" s="26" t="n"/>
    </row>
    <row r="114" ht="24" customHeight="1" s="52">
      <c r="A114" s="27" t="inlineStr">
        <is>
          <t>2026-05-23</t>
        </is>
      </c>
      <c r="B114" s="27" t="n">
        <v>10</v>
      </c>
      <c r="C114" s="27" t="inlineStr">
        <is>
          <t>Sat</t>
        </is>
      </c>
      <c r="D114" s="27" t="inlineStr">
        <is>
          <t>AWS Advanced</t>
        </is>
      </c>
      <c r="E114" s="27" t="inlineStr">
        <is>
          <t>Lambda + SQS</t>
        </is>
      </c>
      <c r="F114" s="28" t="inlineStr">
        <is>
          <t>Lambda triggers; SQS DLQ; concurrency; cold start mitigation</t>
        </is>
      </c>
      <c r="G114" s="27" t="n">
        <v>2</v>
      </c>
      <c r="H114" s="27" t="n"/>
      <c r="I114" s="27" t="inlineStr">
        <is>
          <t>Not started</t>
        </is>
      </c>
      <c r="J114" s="27" t="n">
        <v>0</v>
      </c>
      <c r="K114" s="27" t="n"/>
      <c r="L114" s="27" t="n"/>
      <c r="M114" s="27" t="n"/>
    </row>
    <row r="115">
      <c r="A115" s="26" t="inlineStr">
        <is>
          <t>2026-05-23</t>
        </is>
      </c>
      <c r="B115" s="26" t="n">
        <v>10</v>
      </c>
      <c r="C115" s="26" t="inlineStr">
        <is>
          <t>Sat</t>
        </is>
      </c>
      <c r="D115" s="26" t="inlineStr">
        <is>
          <t>AWS Advanced</t>
        </is>
      </c>
      <c r="E115" s="26" t="inlineStr">
        <is>
          <t>Lambda Lab</t>
        </is>
      </c>
      <c r="F115" s="3" t="inlineStr">
        <is>
          <t>Lambda → SQS → DLQ pipeline; alarm on DLQ depth</t>
        </is>
      </c>
      <c r="G115" s="26" t="n">
        <v>2</v>
      </c>
      <c r="H115" s="26" t="n"/>
      <c r="I115" s="26" t="inlineStr">
        <is>
          <t>Not started</t>
        </is>
      </c>
      <c r="J115" s="26" t="n">
        <v>0</v>
      </c>
      <c r="K115" s="26" t="n"/>
      <c r="L115" s="26" t="n"/>
      <c r="M115" s="26" t="n"/>
    </row>
    <row r="116">
      <c r="A116" s="27" t="inlineStr">
        <is>
          <t>2026-05-24</t>
        </is>
      </c>
      <c r="B116" s="27" t="n">
        <v>10</v>
      </c>
      <c r="C116" s="27" t="inlineStr">
        <is>
          <t>Sun</t>
        </is>
      </c>
      <c r="D116" s="27" t="inlineStr">
        <is>
          <t>AWS Advanced</t>
        </is>
      </c>
      <c r="E116" s="27" t="inlineStr">
        <is>
          <t>Review + Apply</t>
        </is>
      </c>
      <c r="F116" s="28" t="inlineStr">
        <is>
          <t>Notes + apply 8 jobs; plan Week 11</t>
        </is>
      </c>
      <c r="G116" s="27" t="n">
        <v>1.5</v>
      </c>
      <c r="H116" s="27" t="n"/>
      <c r="I116" s="27" t="inlineStr">
        <is>
          <t>Not started</t>
        </is>
      </c>
      <c r="J116" s="27" t="n">
        <v>0</v>
      </c>
      <c r="K116" s="27" t="n"/>
      <c r="L116" s="27" t="n"/>
      <c r="M116" s="27" t="n"/>
    </row>
    <row r="117">
      <c r="A117" s="26" t="inlineStr">
        <is>
          <t>2026-05-25</t>
        </is>
      </c>
      <c r="B117" s="26" t="n">
        <v>10</v>
      </c>
      <c r="C117" s="26" t="inlineStr">
        <is>
          <t>Mon</t>
        </is>
      </c>
      <c r="D117" s="26" t="inlineStr">
        <is>
          <t>AWS Advanced</t>
        </is>
      </c>
      <c r="E117" s="26" t="inlineStr">
        <is>
          <t>API GW + CloudFront</t>
        </is>
      </c>
      <c r="F117" s="3" t="inlineStr">
        <is>
          <t>REST API GW; Lambda integration; CloudFront + S3 OAI</t>
        </is>
      </c>
      <c r="G117" s="26" t="n">
        <v>1.5</v>
      </c>
      <c r="H117" s="26" t="n"/>
      <c r="I117" s="26" t="inlineStr">
        <is>
          <t>Not started</t>
        </is>
      </c>
      <c r="J117" s="26" t="n">
        <v>0</v>
      </c>
      <c r="K117" s="26" t="n"/>
      <c r="L117" s="26" t="n"/>
      <c r="M117" s="26" t="n"/>
    </row>
    <row r="118">
      <c r="A118" s="27" t="inlineStr">
        <is>
          <t>2026-05-25</t>
        </is>
      </c>
      <c r="B118" s="27" t="n">
        <v>10</v>
      </c>
      <c r="C118" s="27" t="inlineStr">
        <is>
          <t>Mon</t>
        </is>
      </c>
      <c r="D118" s="27" t="inlineStr">
        <is>
          <t>AWS Advanced</t>
        </is>
      </c>
      <c r="E118" s="27" t="inlineStr">
        <is>
          <t>Lab</t>
        </is>
      </c>
      <c r="F118" s="28" t="inlineStr">
        <is>
          <t>API GW REST API + Lambda backend; CF distribution</t>
        </is>
      </c>
      <c r="G118" s="27" t="n">
        <v>1.5</v>
      </c>
      <c r="H118" s="27" t="n"/>
      <c r="I118" s="27" t="inlineStr">
        <is>
          <t>Not started</t>
        </is>
      </c>
      <c r="J118" s="27" t="n">
        <v>0</v>
      </c>
      <c r="K118" s="27" t="n"/>
      <c r="L118" s="27" t="n"/>
      <c r="M118" s="27" t="n"/>
    </row>
    <row r="119">
      <c r="A119" s="26" t="inlineStr">
        <is>
          <t>2026-05-26</t>
        </is>
      </c>
      <c r="B119" s="26" t="n">
        <v>10</v>
      </c>
      <c r="C119" s="26" t="inlineStr">
        <is>
          <t>Tue</t>
        </is>
      </c>
      <c r="D119" s="26" t="inlineStr">
        <is>
          <t>AWS Advanced</t>
        </is>
      </c>
      <c r="E119" s="26" t="inlineStr">
        <is>
          <t>Route 53 + Failover</t>
        </is>
      </c>
      <c r="F119" s="3" t="inlineStr">
        <is>
          <t>Health checks; failover; weighted; latency routing</t>
        </is>
      </c>
      <c r="G119" s="26" t="n">
        <v>1.5</v>
      </c>
      <c r="H119" s="26" t="n"/>
      <c r="I119" s="26" t="inlineStr">
        <is>
          <t>Not started</t>
        </is>
      </c>
      <c r="J119" s="26" t="n">
        <v>0</v>
      </c>
      <c r="K119" s="26" t="n"/>
      <c r="L119" s="26" t="n"/>
      <c r="M119" s="26" t="n"/>
    </row>
    <row r="120">
      <c r="A120" s="27" t="inlineStr">
        <is>
          <t>2026-05-26</t>
        </is>
      </c>
      <c r="B120" s="27" t="n">
        <v>10</v>
      </c>
      <c r="C120" s="27" t="inlineStr">
        <is>
          <t>Tue</t>
        </is>
      </c>
      <c r="D120" s="27" t="inlineStr">
        <is>
          <t>AWS Advanced</t>
        </is>
      </c>
      <c r="E120" s="27" t="inlineStr">
        <is>
          <t>Lab</t>
        </is>
      </c>
      <c r="F120" s="28" t="inlineStr">
        <is>
          <t>Route 53 active-passive failover; ALB health check</t>
        </is>
      </c>
      <c r="G120" s="27" t="n">
        <v>1.5</v>
      </c>
      <c r="H120" s="27" t="n"/>
      <c r="I120" s="27" t="inlineStr">
        <is>
          <t>Not started</t>
        </is>
      </c>
      <c r="J120" s="27" t="n">
        <v>0</v>
      </c>
      <c r="K120" s="27" t="n"/>
      <c r="L120" s="27" t="n"/>
      <c r="M120" s="27" t="n"/>
    </row>
    <row r="121" ht="24" customHeight="1" s="52">
      <c r="A121" s="26" t="inlineStr">
        <is>
          <t>2026-05-27</t>
        </is>
      </c>
      <c r="B121" s="26" t="n">
        <v>10</v>
      </c>
      <c r="C121" s="26" t="inlineStr">
        <is>
          <t>Wed</t>
        </is>
      </c>
      <c r="D121" s="26" t="inlineStr">
        <is>
          <t>AWS Advanced</t>
        </is>
      </c>
      <c r="E121" s="26" t="inlineStr">
        <is>
          <t>Secrets Manager</t>
        </is>
      </c>
      <c r="F121" s="3" t="inlineStr">
        <is>
          <t>Secret rotation; Lambda rotator; Param Store comparison</t>
        </is>
      </c>
      <c r="G121" s="26" t="n">
        <v>1.5</v>
      </c>
      <c r="H121" s="26" t="n"/>
      <c r="I121" s="26" t="inlineStr">
        <is>
          <t>Not started</t>
        </is>
      </c>
      <c r="J121" s="26" t="n">
        <v>0</v>
      </c>
      <c r="K121" s="26" t="n"/>
      <c r="L121" s="26" t="n"/>
      <c r="M121" s="26" t="n"/>
    </row>
    <row r="122">
      <c r="A122" s="27" t="inlineStr">
        <is>
          <t>2026-05-27</t>
        </is>
      </c>
      <c r="B122" s="27" t="n">
        <v>10</v>
      </c>
      <c r="C122" s="27" t="inlineStr">
        <is>
          <t>Wed</t>
        </is>
      </c>
      <c r="D122" s="27" t="inlineStr">
        <is>
          <t>Interview Prep</t>
        </is>
      </c>
      <c r="E122" s="27" t="inlineStr">
        <is>
          <t>AWS Adv Q&amp;A</t>
        </is>
      </c>
      <c r="F122" s="28" t="inlineStr">
        <is>
          <t>RDS + Lambda + CloudFront interview Qs x30</t>
        </is>
      </c>
      <c r="G122" s="27" t="n">
        <v>1.5</v>
      </c>
      <c r="H122" s="27" t="n"/>
      <c r="I122" s="27" t="inlineStr">
        <is>
          <t>Not started</t>
        </is>
      </c>
      <c r="J122" s="27" t="n">
        <v>0</v>
      </c>
      <c r="K122" s="27" t="n"/>
      <c r="L122" s="27" t="n"/>
      <c r="M122" s="27" t="n"/>
    </row>
    <row r="123" ht="24" customHeight="1" s="52">
      <c r="A123" s="26" t="inlineStr">
        <is>
          <t>2026-05-28</t>
        </is>
      </c>
      <c r="B123" s="26" t="n">
        <v>10</v>
      </c>
      <c r="C123" s="26" t="inlineStr">
        <is>
          <t>Thu</t>
        </is>
      </c>
      <c r="D123" s="26" t="inlineStr">
        <is>
          <t>AWS Advanced</t>
        </is>
      </c>
      <c r="E123" s="26" t="inlineStr">
        <is>
          <t>Event-driven Lab</t>
        </is>
      </c>
      <c r="F123" s="3" t="inlineStr">
        <is>
          <t>Full event-driven: S3→Lambda→SQS→Lambda→DynamoDB</t>
        </is>
      </c>
      <c r="G123" s="26" t="n">
        <v>2</v>
      </c>
      <c r="H123" s="26" t="n"/>
      <c r="I123" s="26" t="inlineStr">
        <is>
          <t>Not started</t>
        </is>
      </c>
      <c r="J123" s="26" t="n">
        <v>0</v>
      </c>
      <c r="K123" s="26" t="n"/>
      <c r="L123" s="26" t="n"/>
      <c r="M123" s="26" t="n"/>
    </row>
    <row r="124" ht="24" customHeight="1" s="52">
      <c r="A124" s="27" t="inlineStr">
        <is>
          <t>2026-05-29</t>
        </is>
      </c>
      <c r="B124" s="27" t="n">
        <v>11</v>
      </c>
      <c r="C124" s="27" t="inlineStr">
        <is>
          <t>Fri</t>
        </is>
      </c>
      <c r="D124" s="27" t="inlineStr">
        <is>
          <t>Observability</t>
        </is>
      </c>
      <c r="E124" s="27" t="inlineStr">
        <is>
          <t>CloudWatch Advanced</t>
        </is>
      </c>
      <c r="F124" s="28" t="inlineStr">
        <is>
          <t>Custom metrics; metric math; composite alarms; dashboards</t>
        </is>
      </c>
      <c r="G124" s="27" t="n">
        <v>1.5</v>
      </c>
      <c r="H124" s="27" t="n"/>
      <c r="I124" s="27" t="inlineStr">
        <is>
          <t>Not started</t>
        </is>
      </c>
      <c r="J124" s="27" t="n">
        <v>0</v>
      </c>
      <c r="K124" s="27" t="n"/>
      <c r="L124" s="27" t="n"/>
      <c r="M124" s="27" t="n"/>
    </row>
    <row r="125" ht="24" customHeight="1" s="52">
      <c r="A125" s="26" t="inlineStr">
        <is>
          <t>2026-05-29</t>
        </is>
      </c>
      <c r="B125" s="26" t="n">
        <v>11</v>
      </c>
      <c r="C125" s="26" t="inlineStr">
        <is>
          <t>Fri</t>
        </is>
      </c>
      <c r="D125" s="26" t="inlineStr">
        <is>
          <t>Observability</t>
        </is>
      </c>
      <c r="E125" s="26" t="inlineStr">
        <is>
          <t>CW Lab</t>
        </is>
      </c>
      <c r="F125" s="3" t="inlineStr">
        <is>
          <t>Custom metric + alarm + SNS notify; Log Insights queries</t>
        </is>
      </c>
      <c r="G125" s="26" t="n">
        <v>1.5</v>
      </c>
      <c r="H125" s="26" t="n"/>
      <c r="I125" s="26" t="inlineStr">
        <is>
          <t>Not started</t>
        </is>
      </c>
      <c r="J125" s="26" t="n">
        <v>0</v>
      </c>
      <c r="K125" s="26" t="n"/>
      <c r="L125" s="26" t="n"/>
      <c r="M125" s="26" t="n"/>
    </row>
    <row r="126">
      <c r="A126" s="27" t="inlineStr">
        <is>
          <t>2026-05-30</t>
        </is>
      </c>
      <c r="B126" s="27" t="n">
        <v>11</v>
      </c>
      <c r="C126" s="27" t="inlineStr">
        <is>
          <t>Sat</t>
        </is>
      </c>
      <c r="D126" s="27" t="inlineStr">
        <is>
          <t>Observability</t>
        </is>
      </c>
      <c r="E126" s="27" t="inlineStr">
        <is>
          <t>Prometheus + Grafana</t>
        </is>
      </c>
      <c r="F126" s="28" t="inlineStr">
        <is>
          <t>kube-prometheus-stack; PromQL; dashboards; alerting</t>
        </is>
      </c>
      <c r="G126" s="27" t="n">
        <v>2</v>
      </c>
      <c r="H126" s="27" t="n"/>
      <c r="I126" s="27" t="inlineStr">
        <is>
          <t>Not started</t>
        </is>
      </c>
      <c r="J126" s="27" t="n">
        <v>0</v>
      </c>
      <c r="K126" s="27" t="n"/>
      <c r="L126" s="27" t="n"/>
      <c r="M126" s="27" t="n"/>
    </row>
    <row r="127">
      <c r="A127" s="26" t="inlineStr">
        <is>
          <t>2026-05-30</t>
        </is>
      </c>
      <c r="B127" s="26" t="n">
        <v>11</v>
      </c>
      <c r="C127" s="26" t="inlineStr">
        <is>
          <t>Sat</t>
        </is>
      </c>
      <c r="D127" s="26" t="inlineStr">
        <is>
          <t>Observability</t>
        </is>
      </c>
      <c r="E127" s="26" t="inlineStr">
        <is>
          <t>P+G Lab</t>
        </is>
      </c>
      <c r="F127" s="3" t="inlineStr">
        <is>
          <t>Prometheus on EKS; Grafana dashboard; alert on p99</t>
        </is>
      </c>
      <c r="G127" s="26" t="n">
        <v>2</v>
      </c>
      <c r="H127" s="26" t="n"/>
      <c r="I127" s="26" t="inlineStr">
        <is>
          <t>Not started</t>
        </is>
      </c>
      <c r="J127" s="26" t="n">
        <v>0</v>
      </c>
      <c r="K127" s="26" t="n"/>
      <c r="L127" s="26" t="n"/>
      <c r="M127" s="26" t="n"/>
    </row>
    <row r="128">
      <c r="A128" s="27" t="inlineStr">
        <is>
          <t>2026-05-31</t>
        </is>
      </c>
      <c r="B128" s="27" t="n">
        <v>11</v>
      </c>
      <c r="C128" s="27" t="inlineStr">
        <is>
          <t>Sun</t>
        </is>
      </c>
      <c r="D128" s="27" t="inlineStr">
        <is>
          <t>Observability</t>
        </is>
      </c>
      <c r="E128" s="27" t="inlineStr">
        <is>
          <t>Review + Apply</t>
        </is>
      </c>
      <c r="F128" s="28" t="inlineStr">
        <is>
          <t>Notes + apply 8 jobs; plan Week 12</t>
        </is>
      </c>
      <c r="G128" s="27" t="n">
        <v>1.5</v>
      </c>
      <c r="H128" s="27" t="n"/>
      <c r="I128" s="27" t="inlineStr">
        <is>
          <t>Not started</t>
        </is>
      </c>
      <c r="J128" s="27" t="n">
        <v>0</v>
      </c>
      <c r="K128" s="27" t="n"/>
      <c r="L128" s="27" t="n"/>
      <c r="M128" s="27" t="n"/>
    </row>
    <row r="129">
      <c r="A129" s="26" t="inlineStr">
        <is>
          <t>2026-06-01</t>
        </is>
      </c>
      <c r="B129" s="26" t="n">
        <v>11</v>
      </c>
      <c r="C129" s="26" t="inlineStr">
        <is>
          <t>Mon</t>
        </is>
      </c>
      <c r="D129" s="26" t="inlineStr">
        <is>
          <t>Observability</t>
        </is>
      </c>
      <c r="E129" s="26" t="inlineStr">
        <is>
          <t>SLI/SLO/Error Budget</t>
        </is>
      </c>
      <c r="F129" s="3" t="inlineStr">
        <is>
          <t>Define SLIs; SLO targets; error budget policy; burn rate</t>
        </is>
      </c>
      <c r="G129" s="26" t="n">
        <v>1.5</v>
      </c>
      <c r="H129" s="26" t="n"/>
      <c r="I129" s="26" t="inlineStr">
        <is>
          <t>Not started</t>
        </is>
      </c>
      <c r="J129" s="26" t="n">
        <v>0</v>
      </c>
      <c r="K129" s="26" t="n"/>
      <c r="L129" s="26" t="n"/>
      <c r="M129" s="26" t="n"/>
    </row>
    <row r="130">
      <c r="A130" s="27" t="inlineStr">
        <is>
          <t>2026-06-01</t>
        </is>
      </c>
      <c r="B130" s="27" t="n">
        <v>11</v>
      </c>
      <c r="C130" s="27" t="inlineStr">
        <is>
          <t>Mon</t>
        </is>
      </c>
      <c r="D130" s="27" t="inlineStr">
        <is>
          <t>Observability</t>
        </is>
      </c>
      <c r="E130" s="27" t="inlineStr">
        <is>
          <t>SRE Lab</t>
        </is>
      </c>
      <c r="F130" s="28" t="inlineStr">
        <is>
          <t>Document SLO for a service; create error budget alert</t>
        </is>
      </c>
      <c r="G130" s="27" t="n">
        <v>1.5</v>
      </c>
      <c r="H130" s="27" t="n"/>
      <c r="I130" s="27" t="inlineStr">
        <is>
          <t>Not started</t>
        </is>
      </c>
      <c r="J130" s="27" t="n">
        <v>0</v>
      </c>
      <c r="K130" s="27" t="n"/>
      <c r="L130" s="27" t="n"/>
      <c r="M130" s="27" t="n"/>
    </row>
    <row r="131">
      <c r="A131" s="26" t="inlineStr">
        <is>
          <t>2026-06-02</t>
        </is>
      </c>
      <c r="B131" s="26" t="n">
        <v>11</v>
      </c>
      <c r="C131" s="26" t="inlineStr">
        <is>
          <t>Tue</t>
        </is>
      </c>
      <c r="D131" s="26" t="inlineStr">
        <is>
          <t>Observability</t>
        </is>
      </c>
      <c r="E131" s="26" t="inlineStr">
        <is>
          <t>Tracing</t>
        </is>
      </c>
      <c r="F131" s="3" t="inlineStr">
        <is>
          <t>X-Ray; OpenTelemetry; distributed tracing concepts</t>
        </is>
      </c>
      <c r="G131" s="26" t="n">
        <v>1.5</v>
      </c>
      <c r="H131" s="26" t="n"/>
      <c r="I131" s="26" t="inlineStr">
        <is>
          <t>Not started</t>
        </is>
      </c>
      <c r="J131" s="26" t="n">
        <v>0</v>
      </c>
      <c r="K131" s="26" t="n"/>
      <c r="L131" s="26" t="n"/>
      <c r="M131" s="26" t="n"/>
    </row>
    <row r="132">
      <c r="A132" s="27" t="inlineStr">
        <is>
          <t>2026-06-02</t>
        </is>
      </c>
      <c r="B132" s="27" t="n">
        <v>11</v>
      </c>
      <c r="C132" s="27" t="inlineStr">
        <is>
          <t>Tue</t>
        </is>
      </c>
      <c r="D132" s="27" t="inlineStr">
        <is>
          <t>Observability</t>
        </is>
      </c>
      <c r="E132" s="27" t="inlineStr">
        <is>
          <t>Tracing Lab</t>
        </is>
      </c>
      <c r="F132" s="28" t="inlineStr">
        <is>
          <t>X-Ray on Lambda; trace API call end-to-end</t>
        </is>
      </c>
      <c r="G132" s="27" t="n">
        <v>1.5</v>
      </c>
      <c r="H132" s="27" t="n"/>
      <c r="I132" s="27" t="inlineStr">
        <is>
          <t>Not started</t>
        </is>
      </c>
      <c r="J132" s="27" t="n">
        <v>0</v>
      </c>
      <c r="K132" s="27" t="n"/>
      <c r="L132" s="27" t="n"/>
      <c r="M132" s="27" t="n"/>
    </row>
    <row r="133">
      <c r="A133" s="26" t="inlineStr">
        <is>
          <t>2026-06-03</t>
        </is>
      </c>
      <c r="B133" s="26" t="n">
        <v>11</v>
      </c>
      <c r="C133" s="26" t="inlineStr">
        <is>
          <t>Wed</t>
        </is>
      </c>
      <c r="D133" s="26" t="inlineStr">
        <is>
          <t>Observability</t>
        </is>
      </c>
      <c r="E133" s="26" t="inlineStr">
        <is>
          <t>Incident Mgmt</t>
        </is>
      </c>
      <c r="F133" s="3" t="inlineStr">
        <is>
          <t>Runbooks; post-mortems; on-call; alerting fatigue</t>
        </is>
      </c>
      <c r="G133" s="26" t="n">
        <v>1.5</v>
      </c>
      <c r="H133" s="26" t="n"/>
      <c r="I133" s="26" t="inlineStr">
        <is>
          <t>Not started</t>
        </is>
      </c>
      <c r="J133" s="26" t="n">
        <v>0</v>
      </c>
      <c r="K133" s="26" t="n"/>
      <c r="L133" s="26" t="n"/>
      <c r="M133" s="26" t="n"/>
    </row>
    <row r="134">
      <c r="A134" s="27" t="inlineStr">
        <is>
          <t>2026-06-03</t>
        </is>
      </c>
      <c r="B134" s="27" t="n">
        <v>11</v>
      </c>
      <c r="C134" s="27" t="inlineStr">
        <is>
          <t>Wed</t>
        </is>
      </c>
      <c r="D134" s="27" t="inlineStr">
        <is>
          <t>Interview Prep</t>
        </is>
      </c>
      <c r="E134" s="27" t="inlineStr">
        <is>
          <t>Obs Q&amp;A</t>
        </is>
      </c>
      <c r="F134" s="28" t="inlineStr">
        <is>
          <t>Observability + SRE interview Qs x25</t>
        </is>
      </c>
      <c r="G134" s="27" t="n">
        <v>1.5</v>
      </c>
      <c r="H134" s="27" t="n"/>
      <c r="I134" s="27" t="inlineStr">
        <is>
          <t>Not started</t>
        </is>
      </c>
      <c r="J134" s="27" t="n">
        <v>0</v>
      </c>
      <c r="K134" s="27" t="n"/>
      <c r="L134" s="27" t="n"/>
      <c r="M134" s="27" t="n"/>
    </row>
    <row r="135" ht="24" customHeight="1" s="52">
      <c r="A135" s="26" t="inlineStr">
        <is>
          <t>2026-06-04</t>
        </is>
      </c>
      <c r="B135" s="26" t="n">
        <v>11</v>
      </c>
      <c r="C135" s="26" t="inlineStr">
        <is>
          <t>Thu</t>
        </is>
      </c>
      <c r="D135" s="26" t="inlineStr">
        <is>
          <t>Observability</t>
        </is>
      </c>
      <c r="E135" s="26" t="inlineStr">
        <is>
          <t>Obs Full Lab</t>
        </is>
      </c>
      <c r="F135" s="3" t="inlineStr">
        <is>
          <t>Full obs stack: CW + Prometheus + Grafana + SLO alerts</t>
        </is>
      </c>
      <c r="G135" s="26" t="n">
        <v>2</v>
      </c>
      <c r="H135" s="26" t="n"/>
      <c r="I135" s="26" t="inlineStr">
        <is>
          <t>Not started</t>
        </is>
      </c>
      <c r="J135" s="26" t="n">
        <v>0</v>
      </c>
      <c r="K135" s="26" t="n"/>
      <c r="L135" s="26" t="n"/>
      <c r="M135" s="26" t="n"/>
    </row>
    <row r="136">
      <c r="A136" s="27" t="inlineStr">
        <is>
          <t>2026-06-05</t>
        </is>
      </c>
      <c r="B136" s="27" t="n">
        <v>12</v>
      </c>
      <c r="C136" s="27" t="inlineStr">
        <is>
          <t>Fri</t>
        </is>
      </c>
      <c r="D136" s="27" t="inlineStr">
        <is>
          <t>Security</t>
        </is>
      </c>
      <c r="E136" s="27" t="inlineStr">
        <is>
          <t>GuardDuty + SecHub</t>
        </is>
      </c>
      <c r="F136" s="28" t="inlineStr">
        <is>
          <t>Enable + configure; findings; suppression; custom rules</t>
        </is>
      </c>
      <c r="G136" s="27" t="n">
        <v>1.5</v>
      </c>
      <c r="H136" s="27" t="n"/>
      <c r="I136" s="27" t="inlineStr">
        <is>
          <t>Not started</t>
        </is>
      </c>
      <c r="J136" s="27" t="n">
        <v>0</v>
      </c>
      <c r="K136" s="27" t="n"/>
      <c r="L136" s="27" t="n"/>
      <c r="M136" s="27" t="n"/>
    </row>
    <row r="137">
      <c r="A137" s="26" t="inlineStr">
        <is>
          <t>2026-06-05</t>
        </is>
      </c>
      <c r="B137" s="26" t="n">
        <v>12</v>
      </c>
      <c r="C137" s="26" t="inlineStr">
        <is>
          <t>Fri</t>
        </is>
      </c>
      <c r="D137" s="26" t="inlineStr">
        <is>
          <t>Security</t>
        </is>
      </c>
      <c r="E137" s="26" t="inlineStr">
        <is>
          <t>Security Lab</t>
        </is>
      </c>
      <c r="F137" s="3" t="inlineStr">
        <is>
          <t>GuardDuty + Security Hub; simulate finding; remediate</t>
        </is>
      </c>
      <c r="G137" s="26" t="n">
        <v>1.5</v>
      </c>
      <c r="H137" s="26" t="n"/>
      <c r="I137" s="26" t="inlineStr">
        <is>
          <t>Not started</t>
        </is>
      </c>
      <c r="J137" s="26" t="n">
        <v>0</v>
      </c>
      <c r="K137" s="26" t="n"/>
      <c r="L137" s="26" t="n"/>
      <c r="M137" s="26" t="n"/>
    </row>
    <row r="138">
      <c r="A138" s="27" t="inlineStr">
        <is>
          <t>2026-06-06</t>
        </is>
      </c>
      <c r="B138" s="27" t="n">
        <v>12</v>
      </c>
      <c r="C138" s="27" t="inlineStr">
        <is>
          <t>Sat</t>
        </is>
      </c>
      <c r="D138" s="27" t="inlineStr">
        <is>
          <t>Security</t>
        </is>
      </c>
      <c r="E138" s="27" t="inlineStr">
        <is>
          <t>WAF + KMS</t>
        </is>
      </c>
      <c r="F138" s="28" t="inlineStr">
        <is>
          <t>WAF OWASP rules; rate limiting; KMS CMK; key rotation</t>
        </is>
      </c>
      <c r="G138" s="27" t="n">
        <v>2</v>
      </c>
      <c r="H138" s="27" t="n"/>
      <c r="I138" s="27" t="inlineStr">
        <is>
          <t>Not started</t>
        </is>
      </c>
      <c r="J138" s="27" t="n">
        <v>0</v>
      </c>
      <c r="K138" s="27" t="n"/>
      <c r="L138" s="27" t="n"/>
      <c r="M138" s="27" t="n"/>
    </row>
    <row r="139">
      <c r="A139" s="26" t="inlineStr">
        <is>
          <t>2026-06-06</t>
        </is>
      </c>
      <c r="B139" s="26" t="n">
        <v>12</v>
      </c>
      <c r="C139" s="26" t="inlineStr">
        <is>
          <t>Sat</t>
        </is>
      </c>
      <c r="D139" s="26" t="inlineStr">
        <is>
          <t>Security</t>
        </is>
      </c>
      <c r="E139" s="26" t="inlineStr">
        <is>
          <t>Security Lab</t>
        </is>
      </c>
      <c r="F139" s="3" t="inlineStr">
        <is>
          <t>WAF block SQLi + XSS; KMS-encrypt RDS + S3</t>
        </is>
      </c>
      <c r="G139" s="26" t="n">
        <v>2</v>
      </c>
      <c r="H139" s="26" t="n"/>
      <c r="I139" s="26" t="inlineStr">
        <is>
          <t>Not started</t>
        </is>
      </c>
      <c r="J139" s="26" t="n">
        <v>0</v>
      </c>
      <c r="K139" s="26" t="n"/>
      <c r="L139" s="26" t="n"/>
      <c r="M139" s="26" t="n"/>
    </row>
    <row r="140">
      <c r="A140" s="27" t="inlineStr">
        <is>
          <t>2026-06-07</t>
        </is>
      </c>
      <c r="B140" s="27" t="n">
        <v>12</v>
      </c>
      <c r="C140" s="27" t="inlineStr">
        <is>
          <t>Sun</t>
        </is>
      </c>
      <c r="D140" s="27" t="inlineStr">
        <is>
          <t>Security</t>
        </is>
      </c>
      <c r="E140" s="27" t="inlineStr">
        <is>
          <t>Review + Apply</t>
        </is>
      </c>
      <c r="F140" s="28" t="inlineStr">
        <is>
          <t>Notes + apply 8 jobs; plan Week 13</t>
        </is>
      </c>
      <c r="G140" s="27" t="n">
        <v>1.5</v>
      </c>
      <c r="H140" s="27" t="n"/>
      <c r="I140" s="27" t="inlineStr">
        <is>
          <t>Not started</t>
        </is>
      </c>
      <c r="J140" s="27" t="n">
        <v>0</v>
      </c>
      <c r="K140" s="27" t="n"/>
      <c r="L140" s="27" t="n"/>
      <c r="M140" s="27" t="n"/>
    </row>
    <row r="141">
      <c r="A141" s="26" t="inlineStr">
        <is>
          <t>2026-06-08</t>
        </is>
      </c>
      <c r="B141" s="26" t="n">
        <v>12</v>
      </c>
      <c r="C141" s="26" t="inlineStr">
        <is>
          <t>Mon</t>
        </is>
      </c>
      <c r="D141" s="26" t="inlineStr">
        <is>
          <t>Security</t>
        </is>
      </c>
      <c r="E141" s="26" t="inlineStr">
        <is>
          <t>Container Security</t>
        </is>
      </c>
      <c r="F141" s="3" t="inlineStr">
        <is>
          <t>Falco; image scanning; securityContext; PSS; distroless</t>
        </is>
      </c>
      <c r="G141" s="26" t="n">
        <v>1.5</v>
      </c>
      <c r="H141" s="26" t="n"/>
      <c r="I141" s="26" t="inlineStr">
        <is>
          <t>Not started</t>
        </is>
      </c>
      <c r="J141" s="26" t="n">
        <v>0</v>
      </c>
      <c r="K141" s="26" t="n"/>
      <c r="L141" s="26" t="n"/>
      <c r="M141" s="26" t="n"/>
    </row>
    <row r="142">
      <c r="A142" s="27" t="inlineStr">
        <is>
          <t>2026-06-08</t>
        </is>
      </c>
      <c r="B142" s="27" t="n">
        <v>12</v>
      </c>
      <c r="C142" s="27" t="inlineStr">
        <is>
          <t>Mon</t>
        </is>
      </c>
      <c r="D142" s="27" t="inlineStr">
        <is>
          <t>Security</t>
        </is>
      </c>
      <c r="E142" s="27" t="inlineStr">
        <is>
          <t>Container Sec Lab</t>
        </is>
      </c>
      <c r="F142" s="28" t="inlineStr">
        <is>
          <t>Falco on EKS; detect privilege escalation; alert</t>
        </is>
      </c>
      <c r="G142" s="27" t="n">
        <v>1.5</v>
      </c>
      <c r="H142" s="27" t="n"/>
      <c r="I142" s="27" t="inlineStr">
        <is>
          <t>Not started</t>
        </is>
      </c>
      <c r="J142" s="27" t="n">
        <v>0</v>
      </c>
      <c r="K142" s="27" t="n"/>
      <c r="L142" s="27" t="n"/>
      <c r="M142" s="27" t="n"/>
    </row>
    <row r="143">
      <c r="A143" s="26" t="inlineStr">
        <is>
          <t>2026-06-09</t>
        </is>
      </c>
      <c r="B143" s="26" t="n">
        <v>12</v>
      </c>
      <c r="C143" s="26" t="inlineStr">
        <is>
          <t>Tue</t>
        </is>
      </c>
      <c r="D143" s="26" t="inlineStr">
        <is>
          <t>Security</t>
        </is>
      </c>
      <c r="E143" s="26" t="inlineStr">
        <is>
          <t>IAM Access Analyzer</t>
        </is>
      </c>
      <c r="F143" s="3" t="inlineStr">
        <is>
          <t>Findings; external access; unused access; archive rules</t>
        </is>
      </c>
      <c r="G143" s="26" t="n">
        <v>1.5</v>
      </c>
      <c r="H143" s="26" t="n"/>
      <c r="I143" s="26" t="inlineStr">
        <is>
          <t>Not started</t>
        </is>
      </c>
      <c r="J143" s="26" t="n">
        <v>0</v>
      </c>
      <c r="K143" s="26" t="n"/>
      <c r="L143" s="26" t="n"/>
      <c r="M143" s="26" t="n"/>
    </row>
    <row r="144">
      <c r="A144" s="27" t="inlineStr">
        <is>
          <t>2026-06-09</t>
        </is>
      </c>
      <c r="B144" s="27" t="n">
        <v>12</v>
      </c>
      <c r="C144" s="27" t="inlineStr">
        <is>
          <t>Tue</t>
        </is>
      </c>
      <c r="D144" s="27" t="inlineStr">
        <is>
          <t>Security</t>
        </is>
      </c>
      <c r="E144" s="27" t="inlineStr">
        <is>
          <t>IAM Sec Lab</t>
        </is>
      </c>
      <c r="F144" s="28" t="inlineStr">
        <is>
          <t>Access Analyzer; fix public S3 + over-privileged role</t>
        </is>
      </c>
      <c r="G144" s="27" t="n">
        <v>1.5</v>
      </c>
      <c r="H144" s="27" t="n"/>
      <c r="I144" s="27" t="inlineStr">
        <is>
          <t>Not started</t>
        </is>
      </c>
      <c r="J144" s="27" t="n">
        <v>0</v>
      </c>
      <c r="K144" s="27" t="n"/>
      <c r="L144" s="27" t="n"/>
      <c r="M144" s="27" t="n"/>
    </row>
    <row r="145" ht="24" customHeight="1" s="52">
      <c r="A145" s="26" t="inlineStr">
        <is>
          <t>2026-06-10</t>
        </is>
      </c>
      <c r="B145" s="26" t="n">
        <v>12</v>
      </c>
      <c r="C145" s="26" t="inlineStr">
        <is>
          <t>Wed</t>
        </is>
      </c>
      <c r="D145" s="26" t="inlineStr">
        <is>
          <t>Security</t>
        </is>
      </c>
      <c r="E145" s="26" t="inlineStr">
        <is>
          <t>SAST in Pipeline</t>
        </is>
      </c>
      <c r="F145" s="3" t="inlineStr">
        <is>
          <t>SonarQube + Checkmarx; DAST concepts; dep scanning</t>
        </is>
      </c>
      <c r="G145" s="26" t="n">
        <v>1.5</v>
      </c>
      <c r="H145" s="26" t="n"/>
      <c r="I145" s="26" t="inlineStr">
        <is>
          <t>Not started</t>
        </is>
      </c>
      <c r="J145" s="26" t="n">
        <v>0</v>
      </c>
      <c r="K145" s="26" t="n"/>
      <c r="L145" s="26" t="n"/>
      <c r="M145" s="26" t="n"/>
    </row>
    <row r="146">
      <c r="A146" s="27" t="inlineStr">
        <is>
          <t>2026-06-10</t>
        </is>
      </c>
      <c r="B146" s="27" t="n">
        <v>12</v>
      </c>
      <c r="C146" s="27" t="inlineStr">
        <is>
          <t>Wed</t>
        </is>
      </c>
      <c r="D146" s="27" t="inlineStr">
        <is>
          <t>Interview Prep</t>
        </is>
      </c>
      <c r="E146" s="27" t="inlineStr">
        <is>
          <t>Security Q&amp;A</t>
        </is>
      </c>
      <c r="F146" s="28" t="inlineStr">
        <is>
          <t>Security interview Qs x30; WAF + GuardDuty + KMS</t>
        </is>
      </c>
      <c r="G146" s="27" t="n">
        <v>1.5</v>
      </c>
      <c r="H146" s="27" t="n"/>
      <c r="I146" s="27" t="inlineStr">
        <is>
          <t>Not started</t>
        </is>
      </c>
      <c r="J146" s="27" t="n">
        <v>0</v>
      </c>
      <c r="K146" s="27" t="n"/>
      <c r="L146" s="27" t="n"/>
      <c r="M146" s="27" t="n"/>
    </row>
    <row r="147">
      <c r="A147" s="26" t="inlineStr">
        <is>
          <t>2026-06-11</t>
        </is>
      </c>
      <c r="B147" s="26" t="n">
        <v>12</v>
      </c>
      <c r="C147" s="26" t="inlineStr">
        <is>
          <t>Thu</t>
        </is>
      </c>
      <c r="D147" s="26" t="inlineStr">
        <is>
          <t>Security</t>
        </is>
      </c>
      <c r="E147" s="26" t="inlineStr">
        <is>
          <t>Security Full Lab</t>
        </is>
      </c>
      <c r="F147" s="3" t="inlineStr">
        <is>
          <t>Security baseline: WAF+GD+SecHub+Falco+KMS+SAST</t>
        </is>
      </c>
      <c r="G147" s="26" t="n">
        <v>2</v>
      </c>
      <c r="H147" s="26" t="n"/>
      <c r="I147" s="26" t="inlineStr">
        <is>
          <t>Not started</t>
        </is>
      </c>
      <c r="J147" s="26" t="n">
        <v>0</v>
      </c>
      <c r="K147" s="26" t="n"/>
      <c r="L147" s="26" t="n"/>
      <c r="M147" s="26" t="n"/>
    </row>
    <row r="148">
      <c r="A148" s="27" t="inlineStr">
        <is>
          <t>2026-06-12</t>
        </is>
      </c>
      <c r="B148" s="27" t="n">
        <v>13</v>
      </c>
      <c r="C148" s="27" t="inlineStr">
        <is>
          <t>Fri</t>
        </is>
      </c>
      <c r="D148" s="27" t="inlineStr">
        <is>
          <t>GitOps</t>
        </is>
      </c>
      <c r="E148" s="27" t="inlineStr">
        <is>
          <t>ArgoCD Basics</t>
        </is>
      </c>
      <c r="F148" s="28" t="inlineStr">
        <is>
          <t>App of apps; sync policy; health checks; RBAC</t>
        </is>
      </c>
      <c r="G148" s="27" t="n">
        <v>1.5</v>
      </c>
      <c r="H148" s="27" t="n"/>
      <c r="I148" s="27" t="inlineStr">
        <is>
          <t>Not started</t>
        </is>
      </c>
      <c r="J148" s="27" t="n">
        <v>0</v>
      </c>
      <c r="K148" s="27" t="n"/>
      <c r="L148" s="27" t="n"/>
      <c r="M148" s="27" t="n"/>
    </row>
    <row r="149">
      <c r="A149" s="26" t="inlineStr">
        <is>
          <t>2026-06-12</t>
        </is>
      </c>
      <c r="B149" s="26" t="n">
        <v>13</v>
      </c>
      <c r="C149" s="26" t="inlineStr">
        <is>
          <t>Fri</t>
        </is>
      </c>
      <c r="D149" s="26" t="inlineStr">
        <is>
          <t>GitOps</t>
        </is>
      </c>
      <c r="E149" s="26" t="inlineStr">
        <is>
          <t>ArgoCD Lab</t>
        </is>
      </c>
      <c r="F149" s="3" t="inlineStr">
        <is>
          <t>Deploy app-of-apps managing dev/stg/prd namespaces</t>
        </is>
      </c>
      <c r="G149" s="26" t="n">
        <v>1.5</v>
      </c>
      <c r="H149" s="26" t="n"/>
      <c r="I149" s="26" t="inlineStr">
        <is>
          <t>Not started</t>
        </is>
      </c>
      <c r="J149" s="26" t="n">
        <v>0</v>
      </c>
      <c r="K149" s="26" t="n"/>
      <c r="L149" s="26" t="n"/>
      <c r="M149" s="26" t="n"/>
    </row>
    <row r="150">
      <c r="A150" s="27" t="inlineStr">
        <is>
          <t>2026-06-13</t>
        </is>
      </c>
      <c r="B150" s="27" t="n">
        <v>13</v>
      </c>
      <c r="C150" s="27" t="inlineStr">
        <is>
          <t>Sat</t>
        </is>
      </c>
      <c r="D150" s="27" t="inlineStr">
        <is>
          <t>GitOps</t>
        </is>
      </c>
      <c r="E150" s="27" t="inlineStr">
        <is>
          <t>Argo Rollouts</t>
        </is>
      </c>
      <c r="F150" s="28" t="inlineStr">
        <is>
          <t>Canary; blue-green; analysis templates; auto-promote</t>
        </is>
      </c>
      <c r="G150" s="27" t="n">
        <v>2</v>
      </c>
      <c r="H150" s="27" t="n"/>
      <c r="I150" s="27" t="inlineStr">
        <is>
          <t>Not started</t>
        </is>
      </c>
      <c r="J150" s="27" t="n">
        <v>0</v>
      </c>
      <c r="K150" s="27" t="n"/>
      <c r="L150" s="27" t="n"/>
      <c r="M150" s="27" t="n"/>
    </row>
    <row r="151" ht="24" customHeight="1" s="52">
      <c r="A151" s="26" t="inlineStr">
        <is>
          <t>2026-06-13</t>
        </is>
      </c>
      <c r="B151" s="26" t="n">
        <v>13</v>
      </c>
      <c r="C151" s="26" t="inlineStr">
        <is>
          <t>Sat</t>
        </is>
      </c>
      <c r="D151" s="26" t="inlineStr">
        <is>
          <t>GitOps</t>
        </is>
      </c>
      <c r="E151" s="26" t="inlineStr">
        <is>
          <t>Rollouts Lab</t>
        </is>
      </c>
      <c r="F151" s="3" t="inlineStr">
        <is>
          <t>Canary deploy with header-based analysis; auto rollback</t>
        </is>
      </c>
      <c r="G151" s="26" t="n">
        <v>2</v>
      </c>
      <c r="H151" s="26" t="n"/>
      <c r="I151" s="26" t="inlineStr">
        <is>
          <t>Not started</t>
        </is>
      </c>
      <c r="J151" s="26" t="n">
        <v>0</v>
      </c>
      <c r="K151" s="26" t="n"/>
      <c r="L151" s="26" t="n"/>
      <c r="M151" s="26" t="n"/>
    </row>
    <row r="152">
      <c r="A152" s="27" t="inlineStr">
        <is>
          <t>2026-06-14</t>
        </is>
      </c>
      <c r="B152" s="27" t="n">
        <v>13</v>
      </c>
      <c r="C152" s="27" t="inlineStr">
        <is>
          <t>Sun</t>
        </is>
      </c>
      <c r="D152" s="27" t="inlineStr">
        <is>
          <t>GitOps</t>
        </is>
      </c>
      <c r="E152" s="27" t="inlineStr">
        <is>
          <t>Review + Apply</t>
        </is>
      </c>
      <c r="F152" s="28" t="inlineStr">
        <is>
          <t>Notes + apply 8 jobs; plan Week 14</t>
        </is>
      </c>
      <c r="G152" s="27" t="n">
        <v>1.5</v>
      </c>
      <c r="H152" s="27" t="n"/>
      <c r="I152" s="27" t="inlineStr">
        <is>
          <t>Not started</t>
        </is>
      </c>
      <c r="J152" s="27" t="n">
        <v>0</v>
      </c>
      <c r="K152" s="27" t="n"/>
      <c r="L152" s="27" t="n"/>
      <c r="M152" s="27" t="n"/>
    </row>
    <row r="153" ht="24" customHeight="1" s="52">
      <c r="A153" s="26" t="inlineStr">
        <is>
          <t>2026-06-15</t>
        </is>
      </c>
      <c r="B153" s="26" t="n">
        <v>13</v>
      </c>
      <c r="C153" s="26" t="inlineStr">
        <is>
          <t>Mon</t>
        </is>
      </c>
      <c r="D153" s="26" t="inlineStr">
        <is>
          <t>GitOps</t>
        </is>
      </c>
      <c r="E153" s="26" t="inlineStr">
        <is>
          <t>External Secrets</t>
        </is>
      </c>
      <c r="F153" s="3" t="inlineStr">
        <is>
          <t>ESO + AWS Secrets Manager; SecretStore; ExternalSecret</t>
        </is>
      </c>
      <c r="G153" s="26" t="n">
        <v>1.5</v>
      </c>
      <c r="H153" s="26" t="n"/>
      <c r="I153" s="26" t="inlineStr">
        <is>
          <t>Not started</t>
        </is>
      </c>
      <c r="J153" s="26" t="n">
        <v>0</v>
      </c>
      <c r="K153" s="26" t="n"/>
      <c r="L153" s="26" t="n"/>
      <c r="M153" s="26" t="n"/>
    </row>
    <row r="154" ht="24" customHeight="1" s="52">
      <c r="A154" s="27" t="inlineStr">
        <is>
          <t>2026-06-15</t>
        </is>
      </c>
      <c r="B154" s="27" t="n">
        <v>13</v>
      </c>
      <c r="C154" s="27" t="inlineStr">
        <is>
          <t>Mon</t>
        </is>
      </c>
      <c r="D154" s="27" t="inlineStr">
        <is>
          <t>GitOps</t>
        </is>
      </c>
      <c r="E154" s="27" t="inlineStr">
        <is>
          <t>ESO Lab</t>
        </is>
      </c>
      <c r="F154" s="28" t="inlineStr">
        <is>
          <t>ESO pulling secrets from Secrets Manager into K8s pods</t>
        </is>
      </c>
      <c r="G154" s="27" t="n">
        <v>1.5</v>
      </c>
      <c r="H154" s="27" t="n"/>
      <c r="I154" s="27" t="inlineStr">
        <is>
          <t>Not started</t>
        </is>
      </c>
      <c r="J154" s="27" t="n">
        <v>0</v>
      </c>
      <c r="K154" s="27" t="n"/>
      <c r="L154" s="27" t="n"/>
      <c r="M154" s="27" t="n"/>
    </row>
    <row r="155" ht="24" customHeight="1" s="52">
      <c r="A155" s="26" t="inlineStr">
        <is>
          <t>2026-06-16</t>
        </is>
      </c>
      <c r="B155" s="26" t="n">
        <v>13</v>
      </c>
      <c r="C155" s="26" t="inlineStr">
        <is>
          <t>Tue</t>
        </is>
      </c>
      <c r="D155" s="26" t="inlineStr">
        <is>
          <t>GitOps</t>
        </is>
      </c>
      <c r="E155" s="26" t="inlineStr">
        <is>
          <t>Flux v2</t>
        </is>
      </c>
      <c r="F155" s="3" t="inlineStr">
        <is>
          <t>HelmRelease + Kustomization controllers; image automation</t>
        </is>
      </c>
      <c r="G155" s="26" t="n">
        <v>1.5</v>
      </c>
      <c r="H155" s="26" t="n"/>
      <c r="I155" s="26" t="inlineStr">
        <is>
          <t>Not started</t>
        </is>
      </c>
      <c r="J155" s="26" t="n">
        <v>0</v>
      </c>
      <c r="K155" s="26" t="n"/>
      <c r="L155" s="26" t="n"/>
      <c r="M155" s="26" t="n"/>
    </row>
    <row r="156">
      <c r="A156" s="27" t="inlineStr">
        <is>
          <t>2026-06-16</t>
        </is>
      </c>
      <c r="B156" s="27" t="n">
        <v>13</v>
      </c>
      <c r="C156" s="27" t="inlineStr">
        <is>
          <t>Tue</t>
        </is>
      </c>
      <c r="D156" s="27" t="inlineStr">
        <is>
          <t>GitOps</t>
        </is>
      </c>
      <c r="E156" s="27" t="inlineStr">
        <is>
          <t>Flux Lab</t>
        </is>
      </c>
      <c r="F156" s="28" t="inlineStr">
        <is>
          <t>Flux manage HelmRelease; image update automation</t>
        </is>
      </c>
      <c r="G156" s="27" t="n">
        <v>1.5</v>
      </c>
      <c r="H156" s="27" t="n"/>
      <c r="I156" s="27" t="inlineStr">
        <is>
          <t>Not started</t>
        </is>
      </c>
      <c r="J156" s="27" t="n">
        <v>0</v>
      </c>
      <c r="K156" s="27" t="n"/>
      <c r="L156" s="27" t="n"/>
      <c r="M156" s="27" t="n"/>
    </row>
    <row r="157">
      <c r="A157" s="26" t="inlineStr">
        <is>
          <t>2026-06-17</t>
        </is>
      </c>
      <c r="B157" s="26" t="n">
        <v>13</v>
      </c>
      <c r="C157" s="26" t="inlineStr">
        <is>
          <t>Wed</t>
        </is>
      </c>
      <c r="D157" s="26" t="inlineStr">
        <is>
          <t>GitOps</t>
        </is>
      </c>
      <c r="E157" s="26" t="inlineStr">
        <is>
          <t>Promotion Patterns</t>
        </is>
      </c>
      <c r="F157" s="3" t="inlineStr">
        <is>
          <t>Multi-env GitOps PR promotion; environment branches</t>
        </is>
      </c>
      <c r="G157" s="26" t="n">
        <v>1.5</v>
      </c>
      <c r="H157" s="26" t="n"/>
      <c r="I157" s="26" t="inlineStr">
        <is>
          <t>Not started</t>
        </is>
      </c>
      <c r="J157" s="26" t="n">
        <v>0</v>
      </c>
      <c r="K157" s="26" t="n"/>
      <c r="L157" s="26" t="n"/>
      <c r="M157" s="26" t="n"/>
    </row>
    <row r="158">
      <c r="A158" s="27" t="inlineStr">
        <is>
          <t>2026-06-17</t>
        </is>
      </c>
      <c r="B158" s="27" t="n">
        <v>13</v>
      </c>
      <c r="C158" s="27" t="inlineStr">
        <is>
          <t>Wed</t>
        </is>
      </c>
      <c r="D158" s="27" t="inlineStr">
        <is>
          <t>Interview Prep</t>
        </is>
      </c>
      <c r="E158" s="27" t="inlineStr">
        <is>
          <t>GitOps Q&amp;A</t>
        </is>
      </c>
      <c r="F158" s="28" t="inlineStr">
        <is>
          <t>GitOps interview Qs x25; ArgoCD vs Flux; secrets in Git</t>
        </is>
      </c>
      <c r="G158" s="27" t="n">
        <v>1.5</v>
      </c>
      <c r="H158" s="27" t="n"/>
      <c r="I158" s="27" t="inlineStr">
        <is>
          <t>Not started</t>
        </is>
      </c>
      <c r="J158" s="27" t="n">
        <v>0</v>
      </c>
      <c r="K158" s="27" t="n"/>
      <c r="L158" s="27" t="n"/>
      <c r="M158" s="27" t="n"/>
    </row>
    <row r="159">
      <c r="A159" s="26" t="inlineStr">
        <is>
          <t>2026-06-18</t>
        </is>
      </c>
      <c r="B159" s="26" t="n">
        <v>13</v>
      </c>
      <c r="C159" s="26" t="inlineStr">
        <is>
          <t>Thu</t>
        </is>
      </c>
      <c r="D159" s="26" t="inlineStr">
        <is>
          <t>GitOps</t>
        </is>
      </c>
      <c r="E159" s="26" t="inlineStr">
        <is>
          <t>GitOps Full Lab</t>
        </is>
      </c>
      <c r="F159" s="3" t="inlineStr">
        <is>
          <t>Full GitOps: ArgoCD app-of-apps + Rollouts + ESO</t>
        </is>
      </c>
      <c r="G159" s="26" t="n">
        <v>2</v>
      </c>
      <c r="H159" s="26" t="n"/>
      <c r="I159" s="26" t="inlineStr">
        <is>
          <t>Not started</t>
        </is>
      </c>
      <c r="J159" s="26" t="n">
        <v>0</v>
      </c>
      <c r="K159" s="26" t="n"/>
      <c r="L159" s="26" t="n"/>
      <c r="M159" s="26" t="n"/>
    </row>
    <row r="160">
      <c r="A160" s="27" t="inlineStr">
        <is>
          <t>2026-06-19</t>
        </is>
      </c>
      <c r="B160" s="27" t="n">
        <v>14</v>
      </c>
      <c r="C160" s="27" t="inlineStr">
        <is>
          <t>Fri</t>
        </is>
      </c>
      <c r="D160" s="27" t="inlineStr">
        <is>
          <t>Cost Opt</t>
        </is>
      </c>
      <c r="E160" s="27" t="inlineStr">
        <is>
          <t>Cost Explorer</t>
        </is>
      </c>
      <c r="F160" s="28" t="inlineStr">
        <is>
          <t>Cost Explorer; Budgets; alerts; Savings Plans analysis</t>
        </is>
      </c>
      <c r="G160" s="27" t="n">
        <v>1.5</v>
      </c>
      <c r="H160" s="27" t="n"/>
      <c r="I160" s="27" t="inlineStr">
        <is>
          <t>Not started</t>
        </is>
      </c>
      <c r="J160" s="27" t="n">
        <v>0</v>
      </c>
      <c r="K160" s="27" t="n"/>
      <c r="L160" s="27" t="n"/>
      <c r="M160" s="27" t="n"/>
    </row>
    <row r="161" ht="24" customHeight="1" s="52">
      <c r="A161" s="26" t="inlineStr">
        <is>
          <t>2026-06-19</t>
        </is>
      </c>
      <c r="B161" s="26" t="n">
        <v>14</v>
      </c>
      <c r="C161" s="26" t="inlineStr">
        <is>
          <t>Fri</t>
        </is>
      </c>
      <c r="D161" s="26" t="inlineStr">
        <is>
          <t>Cost Opt</t>
        </is>
      </c>
      <c r="E161" s="26" t="inlineStr">
        <is>
          <t>Cost Lab</t>
        </is>
      </c>
      <c r="F161" s="3" t="inlineStr">
        <is>
          <t>Cost dashboard; budget alarm; rightsizing recommendations</t>
        </is>
      </c>
      <c r="G161" s="26" t="n">
        <v>1.5</v>
      </c>
      <c r="H161" s="26" t="n"/>
      <c r="I161" s="26" t="inlineStr">
        <is>
          <t>Not started</t>
        </is>
      </c>
      <c r="J161" s="26" t="n">
        <v>0</v>
      </c>
      <c r="K161" s="26" t="n"/>
      <c r="L161" s="26" t="n"/>
      <c r="M161" s="26" t="n"/>
    </row>
    <row r="162">
      <c r="A162" s="27" t="inlineStr">
        <is>
          <t>2026-06-20</t>
        </is>
      </c>
      <c r="B162" s="27" t="n">
        <v>14</v>
      </c>
      <c r="C162" s="27" t="inlineStr">
        <is>
          <t>Sat</t>
        </is>
      </c>
      <c r="D162" s="27" t="inlineStr">
        <is>
          <t>Cost Opt</t>
        </is>
      </c>
      <c r="E162" s="27" t="inlineStr">
        <is>
          <t>Spot Strategy</t>
        </is>
      </c>
      <c r="F162" s="28" t="inlineStr">
        <is>
          <t>Spot instances; interruption handling; mixed fleet ASG</t>
        </is>
      </c>
      <c r="G162" s="27" t="n">
        <v>2</v>
      </c>
      <c r="H162" s="27" t="n"/>
      <c r="I162" s="27" t="inlineStr">
        <is>
          <t>Not started</t>
        </is>
      </c>
      <c r="J162" s="27" t="n">
        <v>0</v>
      </c>
      <c r="K162" s="27" t="n"/>
      <c r="L162" s="27" t="n"/>
      <c r="M162" s="27" t="n"/>
    </row>
    <row r="163" ht="24" customHeight="1" s="52">
      <c r="A163" s="26" t="inlineStr">
        <is>
          <t>2026-06-20</t>
        </is>
      </c>
      <c r="B163" s="26" t="n">
        <v>14</v>
      </c>
      <c r="C163" s="26" t="inlineStr">
        <is>
          <t>Sat</t>
        </is>
      </c>
      <c r="D163" s="26" t="inlineStr">
        <is>
          <t>Multi-Account</t>
        </is>
      </c>
      <c r="E163" s="26" t="inlineStr">
        <is>
          <t>AWS Orgs + Control Tower</t>
        </is>
      </c>
      <c r="F163" s="3" t="inlineStr">
        <is>
          <t>Landing Zone; account vending; SCP design; Config rules</t>
        </is>
      </c>
      <c r="G163" s="26" t="n">
        <v>2</v>
      </c>
      <c r="H163" s="26" t="n"/>
      <c r="I163" s="26" t="inlineStr">
        <is>
          <t>Not started</t>
        </is>
      </c>
      <c r="J163" s="26" t="n">
        <v>0</v>
      </c>
      <c r="K163" s="26" t="n"/>
      <c r="L163" s="26" t="n"/>
      <c r="M163" s="26" t="n"/>
    </row>
    <row r="164">
      <c r="A164" s="27" t="inlineStr">
        <is>
          <t>2026-06-21</t>
        </is>
      </c>
      <c r="B164" s="27" t="n">
        <v>14</v>
      </c>
      <c r="C164" s="27" t="inlineStr">
        <is>
          <t>Sun</t>
        </is>
      </c>
      <c r="D164" s="27" t="inlineStr">
        <is>
          <t>Cost Opt</t>
        </is>
      </c>
      <c r="E164" s="27" t="inlineStr">
        <is>
          <t>Review + Apply</t>
        </is>
      </c>
      <c r="F164" s="28" t="inlineStr">
        <is>
          <t>Notes + apply 10 jobs; plan Week 15</t>
        </is>
      </c>
      <c r="G164" s="27" t="n">
        <v>1.5</v>
      </c>
      <c r="H164" s="27" t="n"/>
      <c r="I164" s="27" t="inlineStr">
        <is>
          <t>Not started</t>
        </is>
      </c>
      <c r="J164" s="27" t="n">
        <v>0</v>
      </c>
      <c r="K164" s="27" t="n"/>
      <c r="L164" s="27" t="n"/>
      <c r="M164" s="27" t="n"/>
    </row>
    <row r="165">
      <c r="A165" s="26" t="inlineStr">
        <is>
          <t>2026-06-22</t>
        </is>
      </c>
      <c r="B165" s="26" t="n">
        <v>14</v>
      </c>
      <c r="C165" s="26" t="inlineStr">
        <is>
          <t>Mon</t>
        </is>
      </c>
      <c r="D165" s="26" t="inlineStr">
        <is>
          <t>Multi-Account</t>
        </is>
      </c>
      <c r="E165" s="26" t="inlineStr">
        <is>
          <t>SCP + Tagging</t>
        </is>
      </c>
      <c r="F165" s="3" t="inlineStr">
        <is>
          <t>SCP to restrict regions; mandatory tags; Config rules</t>
        </is>
      </c>
      <c r="G165" s="26" t="n">
        <v>1.5</v>
      </c>
      <c r="H165" s="26" t="n"/>
      <c r="I165" s="26" t="inlineStr">
        <is>
          <t>Not started</t>
        </is>
      </c>
      <c r="J165" s="26" t="n">
        <v>0</v>
      </c>
      <c r="K165" s="26" t="n"/>
      <c r="L165" s="26" t="n"/>
      <c r="M165" s="26" t="n"/>
    </row>
    <row r="166">
      <c r="A166" s="27" t="inlineStr">
        <is>
          <t>2026-06-22</t>
        </is>
      </c>
      <c r="B166" s="27" t="n">
        <v>14</v>
      </c>
      <c r="C166" s="27" t="inlineStr">
        <is>
          <t>Mon</t>
        </is>
      </c>
      <c r="D166" s="27" t="inlineStr">
        <is>
          <t>Multi-Account</t>
        </is>
      </c>
      <c r="E166" s="27" t="inlineStr">
        <is>
          <t>Multi-Acct Lab</t>
        </is>
      </c>
      <c r="F166" s="28" t="inlineStr">
        <is>
          <t>SCP lab; Tag policy; Config rule: require-tags</t>
        </is>
      </c>
      <c r="G166" s="27" t="n">
        <v>1.5</v>
      </c>
      <c r="H166" s="27" t="n"/>
      <c r="I166" s="27" t="inlineStr">
        <is>
          <t>Not started</t>
        </is>
      </c>
      <c r="J166" s="27" t="n">
        <v>0</v>
      </c>
      <c r="K166" s="27" t="n"/>
      <c r="L166" s="27" t="n"/>
      <c r="M166" s="27" t="n"/>
    </row>
    <row r="167">
      <c r="A167" s="26" t="inlineStr">
        <is>
          <t>2026-06-23</t>
        </is>
      </c>
      <c r="B167" s="26" t="n">
        <v>14</v>
      </c>
      <c r="C167" s="26" t="inlineStr">
        <is>
          <t>Tue</t>
        </is>
      </c>
      <c r="D167" s="26" t="inlineStr">
        <is>
          <t>Cost Opt</t>
        </is>
      </c>
      <c r="E167" s="26" t="inlineStr">
        <is>
          <t>FinOps</t>
        </is>
      </c>
      <c r="F167" s="3" t="inlineStr">
        <is>
          <t>FinOps culture; chargeback; showback; unit economics</t>
        </is>
      </c>
      <c r="G167" s="26" t="n">
        <v>1.5</v>
      </c>
      <c r="H167" s="26" t="n"/>
      <c r="I167" s="26" t="inlineStr">
        <is>
          <t>Not started</t>
        </is>
      </c>
      <c r="J167" s="26" t="n">
        <v>0</v>
      </c>
      <c r="K167" s="26" t="n"/>
      <c r="L167" s="26" t="n"/>
      <c r="M167" s="26" t="n"/>
    </row>
    <row r="168" ht="24" customHeight="1" s="52">
      <c r="A168" s="27" t="inlineStr">
        <is>
          <t>2026-06-23</t>
        </is>
      </c>
      <c r="B168" s="27" t="n">
        <v>14</v>
      </c>
      <c r="C168" s="27" t="inlineStr">
        <is>
          <t>Tue</t>
        </is>
      </c>
      <c r="D168" s="27" t="inlineStr">
        <is>
          <t>Cost Opt</t>
        </is>
      </c>
      <c r="E168" s="27" t="inlineStr">
        <is>
          <t>FinOps Lab</t>
        </is>
      </c>
      <c r="F168" s="28" t="inlineStr">
        <is>
          <t>Cost allocation tags; department dashboard in Cost Explorer</t>
        </is>
      </c>
      <c r="G168" s="27" t="n">
        <v>1.5</v>
      </c>
      <c r="H168" s="27" t="n"/>
      <c r="I168" s="27" t="inlineStr">
        <is>
          <t>Not started</t>
        </is>
      </c>
      <c r="J168" s="27" t="n">
        <v>0</v>
      </c>
      <c r="K168" s="27" t="n"/>
      <c r="L168" s="27" t="n"/>
      <c r="M168" s="27" t="n"/>
    </row>
    <row r="169" ht="24" customHeight="1" s="52">
      <c r="A169" s="26" t="inlineStr">
        <is>
          <t>2026-06-24</t>
        </is>
      </c>
      <c r="B169" s="26" t="n">
        <v>14</v>
      </c>
      <c r="C169" s="26" t="inlineStr">
        <is>
          <t>Wed</t>
        </is>
      </c>
      <c r="D169" s="26" t="inlineStr">
        <is>
          <t>Cost Opt</t>
        </is>
      </c>
      <c r="E169" s="26" t="inlineStr">
        <is>
          <t>Savings Plans</t>
        </is>
      </c>
      <c r="F169" s="3" t="inlineStr">
        <is>
          <t>Reserved vs Savings Plan; Compute SP; EC2 SP analysis</t>
        </is>
      </c>
      <c r="G169" s="26" t="n">
        <v>1.5</v>
      </c>
      <c r="H169" s="26" t="n"/>
      <c r="I169" s="26" t="inlineStr">
        <is>
          <t>Not started</t>
        </is>
      </c>
      <c r="J169" s="26" t="n">
        <v>0</v>
      </c>
      <c r="K169" s="26" t="n"/>
      <c r="L169" s="26" t="n"/>
      <c r="M169" s="26" t="n"/>
    </row>
    <row r="170">
      <c r="A170" s="27" t="inlineStr">
        <is>
          <t>2026-06-24</t>
        </is>
      </c>
      <c r="B170" s="27" t="n">
        <v>14</v>
      </c>
      <c r="C170" s="27" t="inlineStr">
        <is>
          <t>Wed</t>
        </is>
      </c>
      <c r="D170" s="27" t="inlineStr">
        <is>
          <t>Interview Prep</t>
        </is>
      </c>
      <c r="E170" s="27" t="inlineStr">
        <is>
          <t>Cost Q&amp;A</t>
        </is>
      </c>
      <c r="F170" s="28" t="inlineStr">
        <is>
          <t>Cost + multi-account interview Qs x20</t>
        </is>
      </c>
      <c r="G170" s="27" t="n">
        <v>1.5</v>
      </c>
      <c r="H170" s="27" t="n"/>
      <c r="I170" s="27" t="inlineStr">
        <is>
          <t>Not started</t>
        </is>
      </c>
      <c r="J170" s="27" t="n">
        <v>0</v>
      </c>
      <c r="K170" s="27" t="n"/>
      <c r="L170" s="27" t="n"/>
      <c r="M170" s="27" t="n"/>
    </row>
    <row r="171">
      <c r="A171" s="26" t="inlineStr">
        <is>
          <t>2026-06-25</t>
        </is>
      </c>
      <c r="B171" s="26" t="n">
        <v>14</v>
      </c>
      <c r="C171" s="26" t="inlineStr">
        <is>
          <t>Thu</t>
        </is>
      </c>
      <c r="D171" s="26" t="inlineStr">
        <is>
          <t>Multi-Account</t>
        </is>
      </c>
      <c r="E171" s="26" t="inlineStr">
        <is>
          <t>Multi-Acct Lab</t>
        </is>
      </c>
      <c r="F171" s="3" t="inlineStr">
        <is>
          <t>Full: Org + SCP + Config + Budget + CW cross-acct logs</t>
        </is>
      </c>
      <c r="G171" s="26" t="n">
        <v>2</v>
      </c>
      <c r="H171" s="26" t="n"/>
      <c r="I171" s="26" t="inlineStr">
        <is>
          <t>Not started</t>
        </is>
      </c>
      <c r="J171" s="26" t="n">
        <v>0</v>
      </c>
      <c r="K171" s="26" t="n"/>
      <c r="L171" s="26" t="n"/>
      <c r="M171" s="26" t="n"/>
    </row>
    <row r="172">
      <c r="A172" s="27" t="inlineStr">
        <is>
          <t>2026-06-26</t>
        </is>
      </c>
      <c r="B172" s="27" t="n">
        <v>15</v>
      </c>
      <c r="C172" s="27" t="inlineStr">
        <is>
          <t>Fri</t>
        </is>
      </c>
      <c r="D172" s="27" t="inlineStr">
        <is>
          <t>System Design</t>
        </is>
      </c>
      <c r="E172" s="27" t="inlineStr">
        <is>
          <t>CI/CD at Scale</t>
        </is>
      </c>
      <c r="F172" s="28" t="inlineStr">
        <is>
          <t>Design CI/CD for 100 microservices; team isolation</t>
        </is>
      </c>
      <c r="G172" s="27" t="n">
        <v>2</v>
      </c>
      <c r="H172" s="27" t="n"/>
      <c r="I172" s="27" t="inlineStr">
        <is>
          <t>Not started</t>
        </is>
      </c>
      <c r="J172" s="27" t="n">
        <v>0</v>
      </c>
      <c r="K172" s="27" t="n"/>
      <c r="L172" s="27" t="n"/>
      <c r="M172" s="27" t="n"/>
    </row>
    <row r="173" ht="24" customHeight="1" s="52">
      <c r="A173" s="26" t="inlineStr">
        <is>
          <t>2026-06-27</t>
        </is>
      </c>
      <c r="B173" s="26" t="n">
        <v>15</v>
      </c>
      <c r="C173" s="26" t="inlineStr">
        <is>
          <t>Sat</t>
        </is>
      </c>
      <c r="D173" s="26" t="inlineStr">
        <is>
          <t>System Design</t>
        </is>
      </c>
      <c r="E173" s="26" t="inlineStr">
        <is>
          <t>DR Design</t>
        </is>
      </c>
      <c r="F173" s="3" t="inlineStr">
        <is>
          <t>Active-active vs active-passive; RTO/RPO; Route53 failover</t>
        </is>
      </c>
      <c r="G173" s="26" t="n">
        <v>2</v>
      </c>
      <c r="H173" s="26" t="n"/>
      <c r="I173" s="26" t="inlineStr">
        <is>
          <t>Not started</t>
        </is>
      </c>
      <c r="J173" s="26" t="n">
        <v>0</v>
      </c>
      <c r="K173" s="26" t="n"/>
      <c r="L173" s="26" t="n"/>
      <c r="M173" s="26" t="n"/>
    </row>
    <row r="174">
      <c r="A174" s="27" t="inlineStr">
        <is>
          <t>2026-06-27</t>
        </is>
      </c>
      <c r="B174" s="27" t="n">
        <v>15</v>
      </c>
      <c r="C174" s="27" t="inlineStr">
        <is>
          <t>Sat</t>
        </is>
      </c>
      <c r="D174" s="27" t="inlineStr">
        <is>
          <t>System Design</t>
        </is>
      </c>
      <c r="E174" s="27" t="inlineStr">
        <is>
          <t>Architecture Diagrams</t>
        </is>
      </c>
      <c r="F174" s="28" t="inlineStr">
        <is>
          <t>draw.io: end-to-end DevOps platform architecture</t>
        </is>
      </c>
      <c r="G174" s="27" t="n">
        <v>2</v>
      </c>
      <c r="H174" s="27" t="n"/>
      <c r="I174" s="27" t="inlineStr">
        <is>
          <t>Not started</t>
        </is>
      </c>
      <c r="J174" s="27" t="n">
        <v>0</v>
      </c>
      <c r="K174" s="27" t="n"/>
      <c r="L174" s="27" t="n"/>
      <c r="M174" s="27" t="n"/>
    </row>
    <row r="175">
      <c r="A175" s="26" t="inlineStr">
        <is>
          <t>2026-06-28</t>
        </is>
      </c>
      <c r="B175" s="26" t="n">
        <v>15</v>
      </c>
      <c r="C175" s="26" t="inlineStr">
        <is>
          <t>Sun</t>
        </is>
      </c>
      <c r="D175" s="26" t="inlineStr">
        <is>
          <t>Portfolio</t>
        </is>
      </c>
      <c r="E175" s="26" t="inlineStr">
        <is>
          <t>Portfolio Polish</t>
        </is>
      </c>
      <c r="F175" s="3" t="inlineStr">
        <is>
          <t>GitHub READMEs; architecture diagrams; blog post</t>
        </is>
      </c>
      <c r="G175" s="26" t="n">
        <v>2</v>
      </c>
      <c r="H175" s="26" t="n"/>
      <c r="I175" s="26" t="inlineStr">
        <is>
          <t>Not started</t>
        </is>
      </c>
      <c r="J175" s="26" t="n">
        <v>0</v>
      </c>
      <c r="K175" s="26" t="n"/>
      <c r="L175" s="26" t="n"/>
      <c r="M175" s="26" t="n"/>
    </row>
    <row r="176" ht="24" customHeight="1" s="52">
      <c r="A176" s="27" t="inlineStr">
        <is>
          <t>2026-06-29</t>
        </is>
      </c>
      <c r="B176" s="27" t="n">
        <v>15</v>
      </c>
      <c r="C176" s="27" t="inlineStr">
        <is>
          <t>Mon</t>
        </is>
      </c>
      <c r="D176" s="27" t="inlineStr">
        <is>
          <t>System Design</t>
        </is>
      </c>
      <c r="E176" s="27" t="inlineStr">
        <is>
          <t>Zero-Downtime Deploy</t>
        </is>
      </c>
      <c r="F176" s="28" t="inlineStr">
        <is>
          <t>Blue-green + Canary strategy; DB migration; feature flags</t>
        </is>
      </c>
      <c r="G176" s="27" t="n">
        <v>2</v>
      </c>
      <c r="H176" s="27" t="n"/>
      <c r="I176" s="27" t="inlineStr">
        <is>
          <t>Not started</t>
        </is>
      </c>
      <c r="J176" s="27" t="n">
        <v>0</v>
      </c>
      <c r="K176" s="27" t="n"/>
      <c r="L176" s="27" t="n"/>
      <c r="M176" s="27" t="n"/>
    </row>
    <row r="177">
      <c r="A177" s="26" t="inlineStr">
        <is>
          <t>2026-06-30</t>
        </is>
      </c>
      <c r="B177" s="26" t="n">
        <v>15</v>
      </c>
      <c r="C177" s="26" t="inlineStr">
        <is>
          <t>Tue</t>
        </is>
      </c>
      <c r="D177" s="26" t="inlineStr">
        <is>
          <t>System Design</t>
        </is>
      </c>
      <c r="E177" s="26" t="inlineStr">
        <is>
          <t>Microservices Migration</t>
        </is>
      </c>
      <c r="F177" s="3" t="inlineStr">
        <is>
          <t>Strangler fig; service mesh intro; API gateway pattern</t>
        </is>
      </c>
      <c r="G177" s="26" t="n">
        <v>2</v>
      </c>
      <c r="H177" s="26" t="n"/>
      <c r="I177" s="26" t="inlineStr">
        <is>
          <t>Not started</t>
        </is>
      </c>
      <c r="J177" s="26" t="n">
        <v>0</v>
      </c>
      <c r="K177" s="26" t="n"/>
      <c r="L177" s="26" t="n"/>
      <c r="M177" s="26" t="n"/>
    </row>
    <row r="178">
      <c r="A178" s="27" t="inlineStr">
        <is>
          <t>2026-07-01</t>
        </is>
      </c>
      <c r="B178" s="27" t="n">
        <v>15</v>
      </c>
      <c r="C178" s="27" t="inlineStr">
        <is>
          <t>Wed</t>
        </is>
      </c>
      <c r="D178" s="27" t="inlineStr">
        <is>
          <t>System Design</t>
        </is>
      </c>
      <c r="E178" s="27" t="inlineStr">
        <is>
          <t>ADR Writing</t>
        </is>
      </c>
      <c r="F178" s="28" t="inlineStr">
        <is>
          <t>Architecture Decision Records for 3 design choices</t>
        </is>
      </c>
      <c r="G178" s="27" t="n">
        <v>2</v>
      </c>
      <c r="H178" s="27" t="n"/>
      <c r="I178" s="27" t="inlineStr">
        <is>
          <t>Not started</t>
        </is>
      </c>
      <c r="J178" s="27" t="n">
        <v>0</v>
      </c>
      <c r="K178" s="27" t="n"/>
      <c r="L178" s="27" t="n"/>
      <c r="M178" s="27" t="n"/>
    </row>
    <row r="179">
      <c r="A179" s="26" t="inlineStr">
        <is>
          <t>2026-07-02</t>
        </is>
      </c>
      <c r="B179" s="26" t="n">
        <v>15</v>
      </c>
      <c r="C179" s="26" t="inlineStr">
        <is>
          <t>Thu</t>
        </is>
      </c>
      <c r="D179" s="26" t="inlineStr">
        <is>
          <t>System Design</t>
        </is>
      </c>
      <c r="E179" s="26" t="inlineStr">
        <is>
          <t>Mock Design Interview</t>
        </is>
      </c>
      <c r="F179" s="3" t="inlineStr">
        <is>
          <t>Full system design mock: 45-min whiteboard session</t>
        </is>
      </c>
      <c r="G179" s="26" t="n">
        <v>2</v>
      </c>
      <c r="H179" s="26" t="n"/>
      <c r="I179" s="26" t="inlineStr">
        <is>
          <t>Not started</t>
        </is>
      </c>
      <c r="J179" s="26" t="n">
        <v>0</v>
      </c>
      <c r="K179" s="26" t="n"/>
      <c r="L179" s="26" t="n"/>
      <c r="M179" s="26" t="n"/>
    </row>
    <row r="180">
      <c r="A180" s="27" t="inlineStr">
        <is>
          <t>2026-07-03</t>
        </is>
      </c>
      <c r="B180" s="27" t="n">
        <v>16</v>
      </c>
      <c r="C180" s="27" t="inlineStr">
        <is>
          <t>Fri</t>
        </is>
      </c>
      <c r="D180" s="27" t="inlineStr">
        <is>
          <t>Interview Prep</t>
        </is>
      </c>
      <c r="E180" s="27" t="inlineStr">
        <is>
          <t>STAR Stories</t>
        </is>
      </c>
      <c r="F180" s="28" t="inlineStr">
        <is>
          <t>Document 10 STAR stories: impact, conflict, failure, lead</t>
        </is>
      </c>
      <c r="G180" s="27" t="n">
        <v>2</v>
      </c>
      <c r="H180" s="27" t="n"/>
      <c r="I180" s="27" t="inlineStr">
        <is>
          <t>Not started</t>
        </is>
      </c>
      <c r="J180" s="27" t="n">
        <v>0</v>
      </c>
      <c r="K180" s="27" t="n"/>
      <c r="L180" s="27" t="n"/>
      <c r="M180" s="27" t="n"/>
    </row>
    <row r="181">
      <c r="A181" s="26" t="inlineStr">
        <is>
          <t>2026-07-04</t>
        </is>
      </c>
      <c r="B181" s="26" t="n">
        <v>16</v>
      </c>
      <c r="C181" s="26" t="inlineStr">
        <is>
          <t>Sat</t>
        </is>
      </c>
      <c r="D181" s="26" t="inlineStr">
        <is>
          <t>Interview Prep</t>
        </is>
      </c>
      <c r="E181" s="26" t="inlineStr">
        <is>
          <t>Mock Interview 1</t>
        </is>
      </c>
      <c r="F181" s="3" t="inlineStr">
        <is>
          <t>Full technical mock: Linux+K8s+AWS+CI/CD round</t>
        </is>
      </c>
      <c r="G181" s="26" t="n">
        <v>2.5</v>
      </c>
      <c r="H181" s="26" t="n"/>
      <c r="I181" s="26" t="inlineStr">
        <is>
          <t>Not started</t>
        </is>
      </c>
      <c r="J181" s="26" t="n">
        <v>0</v>
      </c>
      <c r="K181" s="26" t="n"/>
      <c r="L181" s="26" t="n"/>
      <c r="M181" s="26" t="n"/>
    </row>
    <row r="182">
      <c r="A182" s="27" t="inlineStr">
        <is>
          <t>2026-07-04</t>
        </is>
      </c>
      <c r="B182" s="27" t="n">
        <v>16</v>
      </c>
      <c r="C182" s="27" t="inlineStr">
        <is>
          <t>Sat</t>
        </is>
      </c>
      <c r="D182" s="27" t="inlineStr">
        <is>
          <t>Job Applications</t>
        </is>
      </c>
      <c r="E182" s="27" t="inlineStr">
        <is>
          <t>Apply Bulk</t>
        </is>
      </c>
      <c r="F182" s="28" t="inlineStr">
        <is>
          <t>Apply to 15 companies; LinkedIn + Naukri + referrals</t>
        </is>
      </c>
      <c r="G182" s="27" t="n">
        <v>2</v>
      </c>
      <c r="H182" s="27" t="n"/>
      <c r="I182" s="27" t="inlineStr">
        <is>
          <t>Not started</t>
        </is>
      </c>
      <c r="J182" s="27" t="n">
        <v>0</v>
      </c>
      <c r="K182" s="27" t="n"/>
      <c r="L182" s="27" t="n"/>
      <c r="M182" s="27" t="n"/>
    </row>
    <row r="183">
      <c r="A183" s="26" t="inlineStr">
        <is>
          <t>2026-07-05</t>
        </is>
      </c>
      <c r="B183" s="26" t="n">
        <v>16</v>
      </c>
      <c r="C183" s="26" t="inlineStr">
        <is>
          <t>Sun</t>
        </is>
      </c>
      <c r="D183" s="26" t="inlineStr">
        <is>
          <t>Interview Prep</t>
        </is>
      </c>
      <c r="E183" s="26" t="inlineStr">
        <is>
          <t>Behavioural Mock</t>
        </is>
      </c>
      <c r="F183" s="3" t="inlineStr">
        <is>
          <t>Behavioural round mock; negotiation role-play</t>
        </is>
      </c>
      <c r="G183" s="26" t="n">
        <v>2</v>
      </c>
      <c r="H183" s="26" t="n"/>
      <c r="I183" s="26" t="inlineStr">
        <is>
          <t>Not started</t>
        </is>
      </c>
      <c r="J183" s="26" t="n">
        <v>0</v>
      </c>
      <c r="K183" s="26" t="n"/>
      <c r="L183" s="26" t="n"/>
      <c r="M183" s="26" t="n"/>
    </row>
    <row r="184">
      <c r="A184" s="27" t="inlineStr">
        <is>
          <t>2026-07-06</t>
        </is>
      </c>
      <c r="B184" s="27" t="n">
        <v>16</v>
      </c>
      <c r="C184" s="27" t="inlineStr">
        <is>
          <t>Mon</t>
        </is>
      </c>
      <c r="D184" s="27" t="inlineStr">
        <is>
          <t>Interview Prep</t>
        </is>
      </c>
      <c r="E184" s="27" t="inlineStr">
        <is>
          <t>Mock Interview 2</t>
        </is>
      </c>
      <c r="F184" s="28" t="inlineStr">
        <is>
          <t>Full mock 2: system design + terraform + security round</t>
        </is>
      </c>
      <c r="G184" s="27" t="n">
        <v>2.5</v>
      </c>
      <c r="H184" s="27" t="n"/>
      <c r="I184" s="27" t="inlineStr">
        <is>
          <t>Not started</t>
        </is>
      </c>
      <c r="J184" s="27" t="n">
        <v>0</v>
      </c>
      <c r="K184" s="27" t="n"/>
      <c r="L184" s="27" t="n"/>
      <c r="M184" s="27" t="n"/>
    </row>
    <row r="185">
      <c r="A185" s="26" t="inlineStr">
        <is>
          <t>2026-07-07</t>
        </is>
      </c>
      <c r="B185" s="26" t="n">
        <v>16</v>
      </c>
      <c r="C185" s="26" t="inlineStr">
        <is>
          <t>Tue</t>
        </is>
      </c>
      <c r="D185" s="26" t="inlineStr">
        <is>
          <t>Job Applications</t>
        </is>
      </c>
      <c r="E185" s="26" t="inlineStr">
        <is>
          <t>Resume Polish</t>
        </is>
      </c>
      <c r="F185" s="3" t="inlineStr">
        <is>
          <t>ATS optimisation; keywords; LinkedIn top voice</t>
        </is>
      </c>
      <c r="G185" s="26" t="n">
        <v>1.5</v>
      </c>
      <c r="H185" s="26" t="n"/>
      <c r="I185" s="26" t="inlineStr">
        <is>
          <t>Not started</t>
        </is>
      </c>
      <c r="J185" s="26" t="n">
        <v>0</v>
      </c>
      <c r="K185" s="26" t="n"/>
      <c r="L185" s="26" t="n"/>
      <c r="M185" s="26" t="n"/>
    </row>
    <row r="186">
      <c r="A186" s="27" t="inlineStr">
        <is>
          <t>2026-07-08</t>
        </is>
      </c>
      <c r="B186" s="27" t="n">
        <v>16</v>
      </c>
      <c r="C186" s="27" t="inlineStr">
        <is>
          <t>Wed</t>
        </is>
      </c>
      <c r="D186" s="27" t="inlineStr">
        <is>
          <t>Interview Prep</t>
        </is>
      </c>
      <c r="E186" s="27" t="inlineStr">
        <is>
          <t>Mock Interview 3</t>
        </is>
      </c>
      <c r="F186" s="28" t="inlineStr">
        <is>
          <t>Mock 3: end-to-end DevOps scenario + culture fit</t>
        </is>
      </c>
      <c r="G186" s="27" t="n">
        <v>2</v>
      </c>
      <c r="H186" s="27" t="n"/>
      <c r="I186" s="27" t="inlineStr">
        <is>
          <t>Not started</t>
        </is>
      </c>
      <c r="J186" s="27" t="n">
        <v>0</v>
      </c>
      <c r="K186" s="27" t="n"/>
      <c r="L186" s="27" t="n"/>
      <c r="M186" s="27" t="n"/>
    </row>
    <row r="187">
      <c r="A187" s="26" t="inlineStr">
        <is>
          <t>2026-07-09</t>
        </is>
      </c>
      <c r="B187" s="26" t="n">
        <v>16</v>
      </c>
      <c r="C187" s="26" t="inlineStr">
        <is>
          <t>Thu</t>
        </is>
      </c>
      <c r="D187" s="26" t="inlineStr">
        <is>
          <t>Job Applications</t>
        </is>
      </c>
      <c r="E187" s="26" t="inlineStr">
        <is>
          <t>Final Apply Push</t>
        </is>
      </c>
      <c r="F187" s="3" t="inlineStr">
        <is>
          <t>Apply to final batch; follow up on all pending apps</t>
        </is>
      </c>
      <c r="G187" s="26" t="n">
        <v>2</v>
      </c>
      <c r="H187" s="26" t="n"/>
      <c r="I187" s="26" t="inlineStr">
        <is>
          <t>Not started</t>
        </is>
      </c>
      <c r="J187" s="26" t="n">
        <v>0</v>
      </c>
      <c r="K187" s="26" t="n"/>
      <c r="L187" s="26" t="n"/>
      <c r="M187" s="26" t="n"/>
    </row>
    <row r="188">
      <c r="A188" s="65" t="inlineStr">
        <is>
          <t>🤖  AI-ERA TOOLS — Integrated across 16 weeks (by date)</t>
        </is>
      </c>
    </row>
    <row r="189" ht="30" customHeight="1" s="52">
      <c r="A189" s="47" t="n">
        <v>46105</v>
      </c>
      <c r="B189" s="48" t="n">
        <v>1</v>
      </c>
      <c r="C189" s="48" t="inlineStr">
        <is>
          <t>Mon</t>
        </is>
      </c>
      <c r="D189" s="48" t="inlineStr">
        <is>
          <t>AI Tools</t>
        </is>
      </c>
      <c r="E189" s="48" t="inlineStr">
        <is>
          <t>GitHub Copilot setup</t>
        </is>
      </c>
      <c r="F189" s="48" t="inlineStr">
        <is>
          <t>Install Copilot in VS Code; generate bash scripts with AI; review + fix output</t>
        </is>
      </c>
      <c r="G189" s="48" t="n">
        <v>1</v>
      </c>
      <c r="H189" s="48" t="n"/>
      <c r="I189" s="48" t="inlineStr">
        <is>
          <t>Not started</t>
        </is>
      </c>
      <c r="J189" s="48" t="n">
        <v>0</v>
      </c>
      <c r="K189" s="48" t="n"/>
      <c r="L189" s="48" t="n"/>
      <c r="M189" s="48" t="n"/>
    </row>
    <row r="190" ht="30" customHeight="1" s="52">
      <c r="A190" s="47" t="n">
        <v>46106</v>
      </c>
      <c r="B190" s="48" t="n">
        <v>1</v>
      </c>
      <c r="C190" s="48" t="inlineStr">
        <is>
          <t>Tue</t>
        </is>
      </c>
      <c r="D190" s="48" t="inlineStr">
        <is>
          <t>AI Tools</t>
        </is>
      </c>
      <c r="E190" s="48" t="inlineStr">
        <is>
          <t>Claude / ChatGPT for DevOps</t>
        </is>
      </c>
      <c r="F190" s="48" t="inlineStr">
        <is>
          <t>Prompt engineering for Bash: write backup script, cron job, systemd unit via AI</t>
        </is>
      </c>
      <c r="G190" s="48" t="n">
        <v>1</v>
      </c>
      <c r="H190" s="48" t="n"/>
      <c r="I190" s="48" t="inlineStr">
        <is>
          <t>Not started</t>
        </is>
      </c>
      <c r="J190" s="48" t="n">
        <v>0</v>
      </c>
      <c r="K190" s="48" t="n"/>
      <c r="L190" s="48" t="n"/>
      <c r="M190" s="48" t="n"/>
    </row>
    <row r="191" ht="30" customHeight="1" s="52">
      <c r="A191" s="47" t="n">
        <v>46112</v>
      </c>
      <c r="B191" s="48" t="n">
        <v>2</v>
      </c>
      <c r="C191" s="48" t="inlineStr">
        <is>
          <t>Mon</t>
        </is>
      </c>
      <c r="D191" s="48" t="inlineStr">
        <is>
          <t>AI Tools</t>
        </is>
      </c>
      <c r="E191" s="48" t="inlineStr">
        <is>
          <t>AI-assisted Python scripting</t>
        </is>
      </c>
      <c r="F191" s="48" t="inlineStr">
        <is>
          <t>Use Copilot to generate boto3 EC2 scripts; validate + test each output</t>
        </is>
      </c>
      <c r="G191" s="48" t="n">
        <v>1</v>
      </c>
      <c r="H191" s="48" t="n"/>
      <c r="I191" s="48" t="inlineStr">
        <is>
          <t>Not started</t>
        </is>
      </c>
      <c r="J191" s="48" t="n">
        <v>0</v>
      </c>
      <c r="K191" s="48" t="n"/>
      <c r="L191" s="48" t="n"/>
      <c r="M191" s="48" t="n"/>
    </row>
    <row r="192" ht="30" customHeight="1" s="52">
      <c r="A192" s="47" t="n">
        <v>46113</v>
      </c>
      <c r="B192" s="48" t="n">
        <v>2</v>
      </c>
      <c r="C192" s="48" t="inlineStr">
        <is>
          <t>Tue</t>
        </is>
      </c>
      <c r="D192" s="48" t="inlineStr">
        <is>
          <t>AI Tools</t>
        </is>
      </c>
      <c r="E192" s="48" t="inlineStr">
        <is>
          <t>Amazon Q Developer</t>
        </is>
      </c>
      <c r="F192" s="48" t="inlineStr">
        <is>
          <t>Install Amazon Q CLI; use for AWS CLI command suggestions; compare with Copilot</t>
        </is>
      </c>
      <c r="G192" s="48" t="n">
        <v>1</v>
      </c>
      <c r="H192" s="48" t="n"/>
      <c r="I192" s="48" t="inlineStr">
        <is>
          <t>Not started</t>
        </is>
      </c>
      <c r="J192" s="48" t="n">
        <v>0</v>
      </c>
      <c r="K192" s="48" t="n"/>
      <c r="L192" s="48" t="n"/>
      <c r="M192" s="48" t="n"/>
    </row>
    <row r="193" ht="30" customHeight="1" s="52">
      <c r="A193" s="47" t="n">
        <v>46118</v>
      </c>
      <c r="B193" s="48" t="n">
        <v>3</v>
      </c>
      <c r="C193" s="48" t="inlineStr">
        <is>
          <t>Mon</t>
        </is>
      </c>
      <c r="D193" s="48" t="inlineStr">
        <is>
          <t>AI SecOps</t>
        </is>
      </c>
      <c r="E193" s="48" t="inlineStr">
        <is>
          <t>Snyk AI scanning</t>
        </is>
      </c>
      <c r="F193" s="48" t="inlineStr">
        <is>
          <t>Snyk scan a Docker image; review AI-prioritised CVEs; fix top 3 vulnerabilities</t>
        </is>
      </c>
      <c r="G193" s="48" t="n">
        <v>1</v>
      </c>
      <c r="H193" s="48" t="n"/>
      <c r="I193" s="48" t="inlineStr">
        <is>
          <t>Not started</t>
        </is>
      </c>
      <c r="J193" s="48" t="n">
        <v>0</v>
      </c>
      <c r="K193" s="48" t="n"/>
      <c r="L193" s="48" t="n"/>
      <c r="M193" s="48" t="n"/>
    </row>
    <row r="194" ht="30" customHeight="1" s="52">
      <c r="A194" s="47" t="n">
        <v>46119</v>
      </c>
      <c r="B194" s="48" t="n">
        <v>3</v>
      </c>
      <c r="C194" s="48" t="inlineStr">
        <is>
          <t>Tue</t>
        </is>
      </c>
      <c r="D194" s="48" t="inlineStr">
        <is>
          <t>AI SecOps</t>
        </is>
      </c>
      <c r="E194" s="48" t="inlineStr">
        <is>
          <t>Aqua Security / Trivy AI</t>
        </is>
      </c>
      <c r="F194" s="48" t="inlineStr">
        <is>
          <t>Trivy image scan + AI-suggested remediation; compare Snyk vs Trivy outputs</t>
        </is>
      </c>
      <c r="G194" s="48" t="n">
        <v>1</v>
      </c>
      <c r="H194" s="48" t="n"/>
      <c r="I194" s="48" t="inlineStr">
        <is>
          <t>Not started</t>
        </is>
      </c>
      <c r="J194" s="48" t="n">
        <v>0</v>
      </c>
      <c r="K194" s="48" t="n"/>
      <c r="L194" s="48" t="n"/>
      <c r="M194" s="48" t="n"/>
    </row>
    <row r="195" ht="30" customHeight="1" s="52">
      <c r="A195" s="47" t="n">
        <v>46125</v>
      </c>
      <c r="B195" s="48" t="n">
        <v>4</v>
      </c>
      <c r="C195" s="48" t="inlineStr">
        <is>
          <t>Mon</t>
        </is>
      </c>
      <c r="D195" s="48" t="inlineStr">
        <is>
          <t>AI Tools</t>
        </is>
      </c>
      <c r="E195" s="48" t="inlineStr">
        <is>
          <t>AI-generated Jenkinsfile</t>
        </is>
      </c>
      <c r="F195" s="48" t="inlineStr">
        <is>
          <t>Prompt Copilot to write Jenkinsfile; review for secrets leaks + hardcoded values</t>
        </is>
      </c>
      <c r="G195" s="48" t="n">
        <v>1</v>
      </c>
      <c r="H195" s="48" t="n"/>
      <c r="I195" s="48" t="inlineStr">
        <is>
          <t>Not started</t>
        </is>
      </c>
      <c r="J195" s="48" t="n">
        <v>0</v>
      </c>
      <c r="K195" s="48" t="n"/>
      <c r="L195" s="48" t="n"/>
      <c r="M195" s="48" t="n"/>
    </row>
    <row r="196" ht="30" customHeight="1" s="52">
      <c r="A196" s="47" t="n">
        <v>46126</v>
      </c>
      <c r="B196" s="48" t="n">
        <v>4</v>
      </c>
      <c r="C196" s="48" t="inlineStr">
        <is>
          <t>Tue</t>
        </is>
      </c>
      <c r="D196" s="48" t="inlineStr">
        <is>
          <t>AI Tools</t>
        </is>
      </c>
      <c r="E196" s="48" t="inlineStr">
        <is>
          <t>AI GitHub Actions YAML</t>
        </is>
      </c>
      <c r="F196" s="48" t="inlineStr">
        <is>
          <t>Generate GHA workflow with AI; validate OIDC setup; check permissions are minimal</t>
        </is>
      </c>
      <c r="G196" s="48" t="n">
        <v>1</v>
      </c>
      <c r="H196" s="48" t="n"/>
      <c r="I196" s="48" t="inlineStr">
        <is>
          <t>Not started</t>
        </is>
      </c>
      <c r="J196" s="48" t="n">
        <v>0</v>
      </c>
      <c r="K196" s="48" t="n"/>
      <c r="L196" s="48" t="n"/>
      <c r="M196" s="48" t="n"/>
    </row>
    <row r="197" ht="30" customHeight="1" s="52">
      <c r="A197" s="47" t="n">
        <v>46126</v>
      </c>
      <c r="B197" s="48" t="n">
        <v>4</v>
      </c>
      <c r="C197" s="48" t="inlineStr">
        <is>
          <t>Tue</t>
        </is>
      </c>
      <c r="D197" s="48" t="inlineStr">
        <is>
          <t>AI Tools</t>
        </is>
      </c>
      <c r="E197" s="48" t="inlineStr">
        <is>
          <t>Cursor IDE intro</t>
        </is>
      </c>
      <c r="F197" s="48" t="inlineStr">
        <is>
          <t>Install Cursor; diff with VS Code Copilot; understand agentic code editing for IaC</t>
        </is>
      </c>
      <c r="G197" s="48" t="n">
        <v>0.5</v>
      </c>
      <c r="H197" s="48" t="n"/>
      <c r="I197" s="48" t="inlineStr">
        <is>
          <t>Not started</t>
        </is>
      </c>
      <c r="J197" s="48" t="n">
        <v>0</v>
      </c>
      <c r="K197" s="48" t="n"/>
      <c r="L197" s="48" t="n"/>
      <c r="M197" s="48" t="n"/>
    </row>
    <row r="198" ht="30" customHeight="1" s="52">
      <c r="A198" s="49" t="n">
        <v>46132</v>
      </c>
      <c r="B198" s="50" t="n">
        <v>5</v>
      </c>
      <c r="C198" s="50" t="inlineStr">
        <is>
          <t>Mon</t>
        </is>
      </c>
      <c r="D198" s="50" t="inlineStr">
        <is>
          <t>AIOps</t>
        </is>
      </c>
      <c r="E198" s="50" t="inlineStr">
        <is>
          <t>Datadog Watchdog intro</t>
        </is>
      </c>
      <c r="F198" s="50" t="inlineStr">
        <is>
          <t>Understand AI anomaly detection in Datadog; simulate CPU spike; review AI alert</t>
        </is>
      </c>
      <c r="G198" s="50" t="n">
        <v>1</v>
      </c>
      <c r="H198" s="50" t="n"/>
      <c r="I198" s="50" t="inlineStr">
        <is>
          <t>Not started</t>
        </is>
      </c>
      <c r="J198" s="50" t="n">
        <v>0</v>
      </c>
      <c r="K198" s="50" t="n"/>
      <c r="L198" s="50" t="n"/>
      <c r="M198" s="50" t="n"/>
    </row>
    <row r="199" ht="30" customHeight="1" s="52">
      <c r="A199" s="49" t="n">
        <v>46133</v>
      </c>
      <c r="B199" s="50" t="n">
        <v>5</v>
      </c>
      <c r="C199" s="50" t="inlineStr">
        <is>
          <t>Tue</t>
        </is>
      </c>
      <c r="D199" s="50" t="inlineStr">
        <is>
          <t>AIOps</t>
        </is>
      </c>
      <c r="E199" s="50" t="inlineStr">
        <is>
          <t>PagerDuty AIOps</t>
        </is>
      </c>
      <c r="F199" s="50" t="inlineStr">
        <is>
          <t>Understand event correlation + noise reduction; compare with plain CloudWatch alarms</t>
        </is>
      </c>
      <c r="G199" s="50" t="n">
        <v>1</v>
      </c>
      <c r="H199" s="50" t="n"/>
      <c r="I199" s="50" t="inlineStr">
        <is>
          <t>Not started</t>
        </is>
      </c>
      <c r="J199" s="50" t="n">
        <v>0</v>
      </c>
      <c r="K199" s="50" t="n"/>
      <c r="L199" s="50" t="n"/>
      <c r="M199" s="50" t="n"/>
    </row>
    <row r="200" ht="30" customHeight="1" s="52">
      <c r="A200" s="47" t="n">
        <v>46139</v>
      </c>
      <c r="B200" s="48" t="n">
        <v>6</v>
      </c>
      <c r="C200" s="48" t="inlineStr">
        <is>
          <t>Mon</t>
        </is>
      </c>
      <c r="D200" s="48" t="inlineStr">
        <is>
          <t>AI SecOps</t>
        </is>
      </c>
      <c r="E200" s="48" t="inlineStr">
        <is>
          <t>Wiz cloud security</t>
        </is>
      </c>
      <c r="F200" s="48" t="inlineStr">
        <is>
          <t>Understand Wiz cloud graph; how AI finds misconfigs across AWS + K8s simultaneously</t>
        </is>
      </c>
      <c r="G200" s="48" t="n">
        <v>1</v>
      </c>
      <c r="H200" s="48" t="n"/>
      <c r="I200" s="48" t="inlineStr">
        <is>
          <t>Not started</t>
        </is>
      </c>
      <c r="J200" s="48" t="n">
        <v>0</v>
      </c>
      <c r="K200" s="48" t="n"/>
      <c r="L200" s="48" t="n"/>
      <c r="M200" s="48" t="n"/>
    </row>
    <row r="201" ht="30" customHeight="1" s="52">
      <c r="A201" s="47" t="n">
        <v>46140</v>
      </c>
      <c r="B201" s="48" t="n">
        <v>6</v>
      </c>
      <c r="C201" s="48" t="inlineStr">
        <is>
          <t>Tue</t>
        </is>
      </c>
      <c r="D201" s="48" t="inlineStr">
        <is>
          <t>AI SecOps</t>
        </is>
      </c>
      <c r="E201" s="48" t="inlineStr">
        <is>
          <t>OPA / Gatekeeper + AI</t>
        </is>
      </c>
      <c r="F201" s="48" t="inlineStr">
        <is>
          <t>Write OPA policy with AI assistance; deploy to K8s; test policy violation rejection</t>
        </is>
      </c>
      <c r="G201" s="48" t="n">
        <v>1</v>
      </c>
      <c r="H201" s="48" t="n"/>
      <c r="I201" s="48" t="inlineStr">
        <is>
          <t>Not started</t>
        </is>
      </c>
      <c r="J201" s="48" t="n">
        <v>0</v>
      </c>
      <c r="K201" s="48" t="n"/>
      <c r="L201" s="48" t="n"/>
      <c r="M201" s="48" t="n"/>
    </row>
    <row r="202" ht="30" customHeight="1" s="52">
      <c r="A202" s="47" t="n">
        <v>46146</v>
      </c>
      <c r="B202" s="48" t="n">
        <v>7</v>
      </c>
      <c r="C202" s="48" t="inlineStr">
        <is>
          <t>Mon</t>
        </is>
      </c>
      <c r="D202" s="48" t="inlineStr">
        <is>
          <t>AI Tools</t>
        </is>
      </c>
      <c r="E202" s="48" t="inlineStr">
        <is>
          <t>AI Terraform module gen</t>
        </is>
      </c>
      <c r="F202" s="48" t="inlineStr">
        <is>
          <t>Prompt Claude to write VPC Terraform module; audit for hardcoded values + secrets</t>
        </is>
      </c>
      <c r="G202" s="48" t="n">
        <v>1</v>
      </c>
      <c r="H202" s="48" t="n"/>
      <c r="I202" s="48" t="inlineStr">
        <is>
          <t>Not started</t>
        </is>
      </c>
      <c r="J202" s="48" t="n">
        <v>0</v>
      </c>
      <c r="K202" s="48" t="n"/>
      <c r="L202" s="48" t="n"/>
      <c r="M202" s="48" t="n"/>
    </row>
    <row r="203" ht="30" customHeight="1" s="52">
      <c r="A203" s="47" t="n">
        <v>46147</v>
      </c>
      <c r="B203" s="48" t="n">
        <v>7</v>
      </c>
      <c r="C203" s="48" t="inlineStr">
        <is>
          <t>Tue</t>
        </is>
      </c>
      <c r="D203" s="48" t="inlineStr">
        <is>
          <t>AI Tools</t>
        </is>
      </c>
      <c r="E203" s="48" t="inlineStr">
        <is>
          <t>Infracost + AI cost estimate</t>
        </is>
      </c>
      <c r="F203" s="48" t="inlineStr">
        <is>
          <t>Use Infracost CLI; understand AI cost prediction for Terraform plans before apply</t>
        </is>
      </c>
      <c r="G203" s="48" t="n">
        <v>1</v>
      </c>
      <c r="H203" s="48" t="n"/>
      <c r="I203" s="48" t="inlineStr">
        <is>
          <t>Not started</t>
        </is>
      </c>
      <c r="J203" s="48" t="n">
        <v>0</v>
      </c>
      <c r="K203" s="48" t="n"/>
      <c r="L203" s="48" t="n"/>
      <c r="M203" s="48" t="n"/>
    </row>
    <row r="204" ht="30" customHeight="1" s="52">
      <c r="A204" s="47" t="n">
        <v>46153</v>
      </c>
      <c r="B204" s="48" t="n">
        <v>8</v>
      </c>
      <c r="C204" s="48" t="inlineStr">
        <is>
          <t>Mon</t>
        </is>
      </c>
      <c r="D204" s="48" t="inlineStr">
        <is>
          <t>AI SecOps</t>
        </is>
      </c>
      <c r="E204" s="48" t="inlineStr">
        <is>
          <t>IAM Access Analyzer + AI</t>
        </is>
      </c>
      <c r="F204" s="48" t="inlineStr">
        <is>
          <t>Enable IAM Access Analyzer; understand AI-generated findings + remediation steps</t>
        </is>
      </c>
      <c r="G204" s="48" t="n">
        <v>1</v>
      </c>
      <c r="H204" s="48" t="n"/>
      <c r="I204" s="48" t="inlineStr">
        <is>
          <t>Not started</t>
        </is>
      </c>
      <c r="J204" s="48" t="n">
        <v>0</v>
      </c>
      <c r="K204" s="48" t="n"/>
      <c r="L204" s="48" t="n"/>
      <c r="M204" s="48" t="n"/>
    </row>
    <row r="205" ht="30" customHeight="1" s="52">
      <c r="A205" s="47" t="n">
        <v>46154</v>
      </c>
      <c r="B205" s="48" t="n">
        <v>8</v>
      </c>
      <c r="C205" s="48" t="inlineStr">
        <is>
          <t>Tue</t>
        </is>
      </c>
      <c r="D205" s="48" t="inlineStr">
        <is>
          <t>AI Tools</t>
        </is>
      </c>
      <c r="E205" s="48" t="inlineStr">
        <is>
          <t>Amazon Q for AWS CLI</t>
        </is>
      </c>
      <c r="F205" s="48" t="inlineStr">
        <is>
          <t>Use Amazon Q to suggest AWS CLI commands; generate IAM policy JSON via prompts</t>
        </is>
      </c>
      <c r="G205" s="48" t="n">
        <v>1</v>
      </c>
      <c r="H205" s="48" t="n"/>
      <c r="I205" s="48" t="inlineStr">
        <is>
          <t>Not started</t>
        </is>
      </c>
      <c r="J205" s="48" t="n">
        <v>0</v>
      </c>
      <c r="K205" s="48" t="n"/>
      <c r="L205" s="48" t="n"/>
      <c r="M205" s="48" t="n"/>
    </row>
    <row r="206" ht="30" customHeight="1" s="52">
      <c r="A206" s="49" t="n">
        <v>46160</v>
      </c>
      <c r="B206" s="50" t="n">
        <v>9</v>
      </c>
      <c r="C206" s="50" t="inlineStr">
        <is>
          <t>Mon</t>
        </is>
      </c>
      <c r="D206" s="50" t="inlineStr">
        <is>
          <t>AIOps</t>
        </is>
      </c>
      <c r="E206" s="50" t="inlineStr">
        <is>
          <t>Dynatrace Davis AI</t>
        </is>
      </c>
      <c r="F206" s="50" t="inlineStr">
        <is>
          <t>Understand Davis AI root cause analysis; compare with manual CloudWatch debugging</t>
        </is>
      </c>
      <c r="G206" s="50" t="n">
        <v>1</v>
      </c>
      <c r="H206" s="50" t="n"/>
      <c r="I206" s="50" t="inlineStr">
        <is>
          <t>Not started</t>
        </is>
      </c>
      <c r="J206" s="50" t="n">
        <v>0</v>
      </c>
      <c r="K206" s="50" t="n"/>
      <c r="L206" s="50" t="n"/>
      <c r="M206" s="50" t="n"/>
    </row>
    <row r="207" ht="30" customHeight="1" s="52">
      <c r="A207" s="49" t="n">
        <v>46161</v>
      </c>
      <c r="B207" s="50" t="n">
        <v>9</v>
      </c>
      <c r="C207" s="50" t="inlineStr">
        <is>
          <t>Tue</t>
        </is>
      </c>
      <c r="D207" s="50" t="inlineStr">
        <is>
          <t>AIOps</t>
        </is>
      </c>
      <c r="E207" s="50" t="inlineStr">
        <is>
          <t>AWS DevOps Guru</t>
        </is>
      </c>
      <c r="F207" s="50" t="inlineStr">
        <is>
          <t>Enable DevOps Guru on test stack; review ML-generated operational insights</t>
        </is>
      </c>
      <c r="G207" s="50" t="n">
        <v>1</v>
      </c>
      <c r="H207" s="50" t="n"/>
      <c r="I207" s="50" t="inlineStr">
        <is>
          <t>Not started</t>
        </is>
      </c>
      <c r="J207" s="50" t="n">
        <v>0</v>
      </c>
      <c r="K207" s="50" t="n"/>
      <c r="L207" s="50" t="n"/>
      <c r="M207" s="50" t="n"/>
    </row>
    <row r="208" ht="30" customHeight="1" s="52">
      <c r="A208" s="47" t="n">
        <v>46167</v>
      </c>
      <c r="B208" s="48" t="n">
        <v>10</v>
      </c>
      <c r="C208" s="48" t="inlineStr">
        <is>
          <t>Mon</t>
        </is>
      </c>
      <c r="D208" s="48" t="inlineStr">
        <is>
          <t>AI Tools</t>
        </is>
      </c>
      <c r="E208" s="48" t="inlineStr">
        <is>
          <t>AI Lambda code gen</t>
        </is>
      </c>
      <c r="F208" s="48" t="inlineStr">
        <is>
          <t>Generate Lambda + SQS trigger via AI; test with real events; fix edge cases</t>
        </is>
      </c>
      <c r="G208" s="48" t="n">
        <v>1</v>
      </c>
      <c r="H208" s="48" t="n"/>
      <c r="I208" s="48" t="inlineStr">
        <is>
          <t>Not started</t>
        </is>
      </c>
      <c r="J208" s="48" t="n">
        <v>0</v>
      </c>
      <c r="K208" s="48" t="n"/>
      <c r="L208" s="48" t="n"/>
      <c r="M208" s="48" t="n"/>
    </row>
    <row r="209" ht="30" customHeight="1" s="52">
      <c r="A209" s="47" t="n">
        <v>46168</v>
      </c>
      <c r="B209" s="48" t="n">
        <v>10</v>
      </c>
      <c r="C209" s="48" t="inlineStr">
        <is>
          <t>Tue</t>
        </is>
      </c>
      <c r="D209" s="48" t="inlineStr">
        <is>
          <t>AI Tools</t>
        </is>
      </c>
      <c r="E209" s="48" t="inlineStr">
        <is>
          <t>AWS Bedrock intro (LLMOps)</t>
        </is>
      </c>
      <c r="F209" s="48" t="inlineStr">
        <is>
          <t>Understand Bedrock API, model inference; deploy a simple Bedrock-backed Lambda</t>
        </is>
      </c>
      <c r="G209" s="48" t="n">
        <v>1</v>
      </c>
      <c r="H209" s="48" t="n"/>
      <c r="I209" s="48" t="inlineStr">
        <is>
          <t>Not started</t>
        </is>
      </c>
      <c r="J209" s="48" t="n">
        <v>0</v>
      </c>
      <c r="K209" s="48" t="n"/>
      <c r="L209" s="48" t="n"/>
      <c r="M209" s="48" t="n"/>
    </row>
    <row r="210" ht="30" customHeight="1" s="52">
      <c r="A210" s="49" t="n">
        <v>46174</v>
      </c>
      <c r="B210" s="50" t="n">
        <v>11</v>
      </c>
      <c r="C210" s="50" t="inlineStr">
        <is>
          <t>Mon</t>
        </is>
      </c>
      <c r="D210" s="50" t="inlineStr">
        <is>
          <t>AIOps</t>
        </is>
      </c>
      <c r="E210" s="50" t="inlineStr">
        <is>
          <t>AI log analysis (Datadog)</t>
        </is>
      </c>
      <c r="F210" s="50" t="inlineStr">
        <is>
          <t>Use Datadog AI log pattern detection; write NL queries in CloudWatch Log Insights</t>
        </is>
      </c>
      <c r="G210" s="50" t="n">
        <v>1</v>
      </c>
      <c r="H210" s="50" t="n"/>
      <c r="I210" s="50" t="inlineStr">
        <is>
          <t>Not started</t>
        </is>
      </c>
      <c r="J210" s="50" t="n">
        <v>0</v>
      </c>
      <c r="K210" s="50" t="n"/>
      <c r="L210" s="50" t="n"/>
      <c r="M210" s="50" t="n"/>
    </row>
    <row r="211" ht="30" customHeight="1" s="52">
      <c r="A211" s="49" t="n">
        <v>46175</v>
      </c>
      <c r="B211" s="50" t="n">
        <v>11</v>
      </c>
      <c r="C211" s="50" t="inlineStr">
        <is>
          <t>Tue</t>
        </is>
      </c>
      <c r="D211" s="50" t="inlineStr">
        <is>
          <t>AIOps</t>
        </is>
      </c>
      <c r="E211" s="50" t="inlineStr">
        <is>
          <t>OpenTelemetry + AI tracing</t>
        </is>
      </c>
      <c r="F211" s="50" t="inlineStr">
        <is>
          <t>Instrument a service with OTel; use Jaeger AI span analysis to find latency root cause</t>
        </is>
      </c>
      <c r="G211" s="50" t="n">
        <v>1</v>
      </c>
      <c r="H211" s="50" t="n"/>
      <c r="I211" s="50" t="inlineStr">
        <is>
          <t>Not started</t>
        </is>
      </c>
      <c r="J211" s="50" t="n">
        <v>0</v>
      </c>
      <c r="K211" s="50" t="n"/>
      <c r="L211" s="50" t="n"/>
      <c r="M211" s="50" t="n"/>
    </row>
    <row r="212" ht="30" customHeight="1" s="52">
      <c r="A212" s="47" t="n">
        <v>46181</v>
      </c>
      <c r="B212" s="48" t="n">
        <v>12</v>
      </c>
      <c r="C212" s="48" t="inlineStr">
        <is>
          <t>Mon</t>
        </is>
      </c>
      <c r="D212" s="48" t="inlineStr">
        <is>
          <t>AI SecOps</t>
        </is>
      </c>
      <c r="E212" s="48" t="inlineStr">
        <is>
          <t>Snyk IaC scanning</t>
        </is>
      </c>
      <c r="F212" s="48" t="inlineStr">
        <is>
          <t>Snyk scan Terraform files for misconfigs; fix AI-suggested issues before apply</t>
        </is>
      </c>
      <c r="G212" s="48" t="n">
        <v>1</v>
      </c>
      <c r="H212" s="48" t="n"/>
      <c r="I212" s="48" t="inlineStr">
        <is>
          <t>Not started</t>
        </is>
      </c>
      <c r="J212" s="48" t="n">
        <v>0</v>
      </c>
      <c r="K212" s="48" t="n"/>
      <c r="L212" s="48" t="n"/>
      <c r="M212" s="48" t="n"/>
    </row>
    <row r="213" ht="30" customHeight="1" s="52">
      <c r="A213" s="47" t="n">
        <v>46182</v>
      </c>
      <c r="B213" s="48" t="n">
        <v>12</v>
      </c>
      <c r="C213" s="48" t="inlineStr">
        <is>
          <t>Tue</t>
        </is>
      </c>
      <c r="D213" s="48" t="inlineStr">
        <is>
          <t>AI SecOps</t>
        </is>
      </c>
      <c r="E213" s="48" t="inlineStr">
        <is>
          <t>Falco + AI rules</t>
        </is>
      </c>
      <c r="F213" s="48" t="inlineStr">
        <is>
          <t>Write Falco rules with AI assistance; simulate container escape; verify detection</t>
        </is>
      </c>
      <c r="G213" s="48" t="n">
        <v>1</v>
      </c>
      <c r="H213" s="48" t="n"/>
      <c r="I213" s="48" t="inlineStr">
        <is>
          <t>Not started</t>
        </is>
      </c>
      <c r="J213" s="48" t="n">
        <v>0</v>
      </c>
      <c r="K213" s="48" t="n"/>
      <c r="L213" s="48" t="n"/>
      <c r="M213" s="48" t="n"/>
    </row>
    <row r="214" ht="30" customHeight="1" s="52">
      <c r="A214" s="47" t="n">
        <v>46188</v>
      </c>
      <c r="B214" s="48" t="n">
        <v>13</v>
      </c>
      <c r="C214" s="48" t="inlineStr">
        <is>
          <t>Mon</t>
        </is>
      </c>
      <c r="D214" s="48" t="inlineStr">
        <is>
          <t>AI Tools</t>
        </is>
      </c>
      <c r="E214" s="48" t="inlineStr">
        <is>
          <t>AI-assisted ArgoCD setup</t>
        </is>
      </c>
      <c r="F214" s="48" t="inlineStr">
        <is>
          <t>Use Claude to generate ArgoCD Application YAML; validate sync policies + RBAC</t>
        </is>
      </c>
      <c r="G214" s="48" t="n">
        <v>1</v>
      </c>
      <c r="H214" s="48" t="n"/>
      <c r="I214" s="48" t="inlineStr">
        <is>
          <t>Not started</t>
        </is>
      </c>
      <c r="J214" s="48" t="n">
        <v>0</v>
      </c>
      <c r="K214" s="48" t="n"/>
      <c r="L214" s="48" t="n"/>
      <c r="M214" s="48" t="n"/>
    </row>
    <row r="215" ht="30" customHeight="1" s="52">
      <c r="A215" s="47" t="n">
        <v>46189</v>
      </c>
      <c r="B215" s="48" t="n">
        <v>13</v>
      </c>
      <c r="C215" s="48" t="inlineStr">
        <is>
          <t>Tue</t>
        </is>
      </c>
      <c r="D215" s="48" t="inlineStr">
        <is>
          <t>AI Tools</t>
        </is>
      </c>
      <c r="E215" s="48" t="inlineStr">
        <is>
          <t>Claude Code CLI intro</t>
        </is>
      </c>
      <c r="F215" s="48" t="inlineStr">
        <is>
          <t>Install Claude Code; run on a Terraform repo; understand agentic code changes workflow</t>
        </is>
      </c>
      <c r="G215" s="48" t="n">
        <v>1</v>
      </c>
      <c r="H215" s="48" t="n"/>
      <c r="I215" s="48" t="inlineStr">
        <is>
          <t>Not started</t>
        </is>
      </c>
      <c r="J215" s="48" t="n">
        <v>0</v>
      </c>
      <c r="K215" s="48" t="n"/>
      <c r="L215" s="48" t="n"/>
      <c r="M215" s="48" t="n"/>
    </row>
    <row r="216" ht="30" customHeight="1" s="52">
      <c r="A216" s="49" t="n">
        <v>46195</v>
      </c>
      <c r="B216" s="50" t="n">
        <v>14</v>
      </c>
      <c r="C216" s="50" t="inlineStr">
        <is>
          <t>Mon</t>
        </is>
      </c>
      <c r="D216" s="50" t="inlineStr">
        <is>
          <t>AIOps</t>
        </is>
      </c>
      <c r="E216" s="50" t="inlineStr">
        <is>
          <t>AWS Cost Anomaly Detection</t>
        </is>
      </c>
      <c r="F216" s="50" t="inlineStr">
        <is>
          <t>Enable Cost Anomaly Detection; configure ML-based budget alerts; review ML findings</t>
        </is>
      </c>
      <c r="G216" s="50" t="n">
        <v>1</v>
      </c>
      <c r="H216" s="50" t="n"/>
      <c r="I216" s="50" t="inlineStr">
        <is>
          <t>Not started</t>
        </is>
      </c>
      <c r="J216" s="50" t="n">
        <v>0</v>
      </c>
      <c r="K216" s="50" t="n"/>
      <c r="L216" s="50" t="n"/>
      <c r="M216" s="50" t="n"/>
    </row>
    <row r="217" ht="30" customHeight="1" s="52">
      <c r="A217" s="49" t="n">
        <v>46196</v>
      </c>
      <c r="B217" s="50" t="n">
        <v>14</v>
      </c>
      <c r="C217" s="50" t="inlineStr">
        <is>
          <t>Tue</t>
        </is>
      </c>
      <c r="D217" s="50" t="inlineStr">
        <is>
          <t>AIOps</t>
        </is>
      </c>
      <c r="E217" s="50" t="inlineStr">
        <is>
          <t>Compute Optimizer AI rightsize</t>
        </is>
      </c>
      <c r="F217" s="50" t="inlineStr">
        <is>
          <t>Use Compute Optimizer AI recommendations; apply rightsizing to EC2 + RDS instances</t>
        </is>
      </c>
      <c r="G217" s="50" t="n">
        <v>1</v>
      </c>
      <c r="H217" s="50" t="n"/>
      <c r="I217" s="50" t="inlineStr">
        <is>
          <t>Not started</t>
        </is>
      </c>
      <c r="J217" s="50" t="n">
        <v>0</v>
      </c>
      <c r="K217" s="50" t="n"/>
      <c r="L217" s="50" t="n"/>
      <c r="M217" s="50" t="n"/>
    </row>
    <row r="218" ht="30" customHeight="1" s="52">
      <c r="A218" s="47" t="n">
        <v>46202</v>
      </c>
      <c r="B218" s="48" t="n">
        <v>15</v>
      </c>
      <c r="C218" s="48" t="inlineStr">
        <is>
          <t>Mon</t>
        </is>
      </c>
      <c r="D218" s="48" t="inlineStr">
        <is>
          <t>AI Tools</t>
        </is>
      </c>
      <c r="E218" s="48" t="inlineStr">
        <is>
          <t>Prompt eng. for system design</t>
        </is>
      </c>
      <c r="F218" s="48" t="inlineStr">
        <is>
          <t>Practice prompting AI to generate architecture diagrams + ADRs; review + critique</t>
        </is>
      </c>
      <c r="G218" s="48" t="n">
        <v>1</v>
      </c>
      <c r="H218" s="48" t="n"/>
      <c r="I218" s="48" t="inlineStr">
        <is>
          <t>Not started</t>
        </is>
      </c>
      <c r="J218" s="48" t="n">
        <v>0</v>
      </c>
      <c r="K218" s="48" t="n"/>
      <c r="L218" s="48" t="n"/>
      <c r="M218" s="48" t="n"/>
    </row>
    <row r="219" ht="30" customHeight="1" s="52">
      <c r="A219" s="47" t="n">
        <v>46203</v>
      </c>
      <c r="B219" s="48" t="n">
        <v>15</v>
      </c>
      <c r="C219" s="48" t="inlineStr">
        <is>
          <t>Tue</t>
        </is>
      </c>
      <c r="D219" s="48" t="inlineStr">
        <is>
          <t>AI Tools</t>
        </is>
      </c>
      <c r="E219" s="48" t="inlineStr">
        <is>
          <t>AI code review workflow</t>
        </is>
      </c>
      <c r="F219" s="48" t="inlineStr">
        <is>
          <t>Build: AI drafts IaC → checkov scan → human review → apply. Document the process.</t>
        </is>
      </c>
      <c r="G219" s="48" t="n">
        <v>1</v>
      </c>
      <c r="H219" s="48" t="n"/>
      <c r="I219" s="48" t="inlineStr">
        <is>
          <t>Not started</t>
        </is>
      </c>
      <c r="J219" s="48" t="n">
        <v>0</v>
      </c>
      <c r="K219" s="48" t="n"/>
      <c r="L219" s="48" t="n"/>
      <c r="M219" s="48" t="n"/>
    </row>
    <row r="220" ht="30" customHeight="1" s="52">
      <c r="A220" s="47" t="n">
        <v>46209</v>
      </c>
      <c r="B220" s="48" t="n">
        <v>16</v>
      </c>
      <c r="C220" s="48" t="inlineStr">
        <is>
          <t>Mon</t>
        </is>
      </c>
      <c r="D220" s="48" t="inlineStr">
        <is>
          <t>AI Tools</t>
        </is>
      </c>
      <c r="E220" s="48" t="inlineStr">
        <is>
          <t>AI tools interview prep</t>
        </is>
      </c>
      <c r="F220" s="48" t="inlineStr">
        <is>
          <t>Practice: "How have you used AI in DevOps?" STAR stories; show GitHub AI examples</t>
        </is>
      </c>
      <c r="G220" s="48" t="n">
        <v>1</v>
      </c>
      <c r="H220" s="48" t="n"/>
      <c r="I220" s="48" t="inlineStr">
        <is>
          <t>Not started</t>
        </is>
      </c>
      <c r="J220" s="48" t="n">
        <v>0</v>
      </c>
      <c r="K220" s="48" t="n"/>
      <c r="L220" s="48" t="n"/>
      <c r="M220" s="48" t="n"/>
    </row>
    <row r="221" ht="30" customHeight="1" s="52">
      <c r="A221" s="47" t="n">
        <v>46210</v>
      </c>
      <c r="B221" s="48" t="n">
        <v>16</v>
      </c>
      <c r="C221" s="48" t="inlineStr">
        <is>
          <t>Tue</t>
        </is>
      </c>
      <c r="D221" s="48" t="inlineStr">
        <is>
          <t>AI Tools</t>
        </is>
      </c>
      <c r="E221" s="48" t="inlineStr">
        <is>
          <t>AI portfolio documentation</t>
        </is>
      </c>
      <c r="F221" s="48" t="inlineStr">
        <is>
          <t>Use AI to polish GitHub READMEs, architecture docs, and all project write-ups</t>
        </is>
      </c>
      <c r="G221" s="48" t="n">
        <v>1</v>
      </c>
      <c r="H221" s="48" t="n"/>
      <c r="I221" s="48" t="inlineStr">
        <is>
          <t>Not started</t>
        </is>
      </c>
      <c r="J221" s="48" t="n">
        <v>0</v>
      </c>
      <c r="K221" s="48" t="n"/>
      <c r="L221" s="48" t="n"/>
      <c r="M221" s="48" t="n"/>
    </row>
  </sheetData>
  <mergeCells count="2">
    <mergeCell ref="A1:K1"/>
    <mergeCell ref="A188:M18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5A623"/>
    <outlinePr summaryBelow="1" summaryRight="1"/>
    <pageSetUpPr/>
  </sheetPr>
  <dimension ref="A1:H93"/>
  <sheetViews>
    <sheetView workbookViewId="0">
      <pane ySplit="2" topLeftCell="A58" activePane="bottomLeft" state="frozen"/>
      <selection pane="bottomLeft" activeCell="A1" sqref="A1:H1"/>
    </sheetView>
  </sheetViews>
  <sheetFormatPr baseColWidth="8" defaultRowHeight="15"/>
  <cols>
    <col width="18" customWidth="1" style="52" min="1" max="1"/>
    <col width="52" customWidth="1" style="52" min="2" max="2"/>
    <col width="14" customWidth="1" style="52" min="3" max="3"/>
    <col width="18" customWidth="1" style="52" min="4" max="4"/>
    <col width="14" customWidth="1" style="52" min="5" max="5"/>
    <col width="10" customWidth="1" style="52" min="6" max="6"/>
    <col width="32" customWidth="1" style="52" min="7" max="7"/>
    <col width="28" customWidth="1" style="52" min="8" max="8"/>
  </cols>
  <sheetData>
    <row r="1" ht="32.1" customHeight="1" s="52">
      <c r="A1" s="66" t="inlineStr">
        <is>
          <t>✅  AWS DEVOPS ENGINEER SKILLS CHECKLIST  —  Target: Intermediate / Advanced Level (3+ YoE)</t>
        </is>
      </c>
    </row>
    <row r="2">
      <c r="A2" s="1" t="inlineStr">
        <is>
          <t>Domain</t>
        </is>
      </c>
      <c r="B2" s="1" t="inlineStr">
        <is>
          <t>Skill / Competency</t>
        </is>
      </c>
      <c r="C2" s="1" t="inlineStr">
        <is>
          <t>Target Level</t>
        </is>
      </c>
      <c r="D2" s="1" t="inlineStr">
        <is>
          <t>Current Level (1-5)</t>
        </is>
      </c>
      <c r="E2" s="1" t="inlineStr">
        <is>
          <t>Status</t>
        </is>
      </c>
      <c r="F2" s="1" t="inlineStr">
        <is>
          <t>% Done</t>
        </is>
      </c>
      <c r="G2" s="1" t="inlineStr">
        <is>
          <t>GitHub / Evidence</t>
        </is>
      </c>
      <c r="H2" s="1" t="inlineStr">
        <is>
          <t>Notes / Next Action</t>
        </is>
      </c>
    </row>
    <row r="3" ht="24" customHeight="1" s="52">
      <c r="A3" s="26" t="inlineStr">
        <is>
          <t>🐧 Linux</t>
        </is>
      </c>
      <c r="B3" s="3" t="inlineStr">
        <is>
          <t>Process management: cgroups, namespaces, systemd, journald</t>
        </is>
      </c>
      <c r="C3" s="26" t="inlineStr">
        <is>
          <t>Advanced</t>
        </is>
      </c>
      <c r="D3" s="26" t="n"/>
      <c r="E3" s="26" t="inlineStr">
        <is>
          <t>Not started</t>
        </is>
      </c>
      <c r="F3" s="26" t="n">
        <v>0</v>
      </c>
      <c r="G3" s="26" t="n"/>
      <c r="H3" s="26" t="n"/>
    </row>
    <row r="4">
      <c r="A4" s="27" t="inlineStr">
        <is>
          <t>🐧 Linux</t>
        </is>
      </c>
      <c r="B4" s="28" t="inlineStr">
        <is>
          <t>File system: inodes, permissions, ACLs, mount, LVM</t>
        </is>
      </c>
      <c r="C4" s="27" t="inlineStr">
        <is>
          <t>Advanced</t>
        </is>
      </c>
      <c r="D4" s="27" t="n"/>
      <c r="E4" s="27" t="inlineStr">
        <is>
          <t>Not started</t>
        </is>
      </c>
      <c r="F4" s="27" t="n">
        <v>0</v>
      </c>
      <c r="G4" s="27" t="n"/>
      <c r="H4" s="27" t="n"/>
    </row>
    <row r="5">
      <c r="A5" s="26" t="inlineStr">
        <is>
          <t>🐧 Linux</t>
        </is>
      </c>
      <c r="B5" s="3" t="inlineStr">
        <is>
          <t>Networking: iptables, netstat, ss, tcpdump, curl, nmap</t>
        </is>
      </c>
      <c r="C5" s="26" t="inlineStr">
        <is>
          <t>Advanced</t>
        </is>
      </c>
      <c r="D5" s="26" t="n"/>
      <c r="E5" s="26" t="inlineStr">
        <is>
          <t>Not started</t>
        </is>
      </c>
      <c r="F5" s="26" t="n">
        <v>0</v>
      </c>
      <c r="G5" s="26" t="n"/>
      <c r="H5" s="26" t="n"/>
    </row>
    <row r="6">
      <c r="A6" s="27" t="inlineStr">
        <is>
          <t>🐧 Linux</t>
        </is>
      </c>
      <c r="B6" s="28" t="inlineStr">
        <is>
          <t>Performance tuning: top, htop, vmstat, iostat, strace</t>
        </is>
      </c>
      <c r="C6" s="27" t="inlineStr">
        <is>
          <t>Advanced</t>
        </is>
      </c>
      <c r="D6" s="27" t="n"/>
      <c r="E6" s="27" t="inlineStr">
        <is>
          <t>Not started</t>
        </is>
      </c>
      <c r="F6" s="27" t="n">
        <v>0</v>
      </c>
      <c r="G6" s="27" t="n"/>
      <c r="H6" s="27" t="n"/>
    </row>
    <row r="7">
      <c r="A7" s="26" t="inlineStr">
        <is>
          <t>🐧 Linux</t>
        </is>
      </c>
      <c r="B7" s="3" t="inlineStr">
        <is>
          <t>Security: SELinux/AppArmor basics, auditd, SSH hardening</t>
        </is>
      </c>
      <c r="C7" s="26" t="inlineStr">
        <is>
          <t>Intermediate</t>
        </is>
      </c>
      <c r="D7" s="26" t="n"/>
      <c r="E7" s="26" t="inlineStr">
        <is>
          <t>Not started</t>
        </is>
      </c>
      <c r="F7" s="26" t="n">
        <v>0</v>
      </c>
      <c r="G7" s="26" t="n"/>
      <c r="H7" s="26" t="n"/>
    </row>
    <row r="8">
      <c r="A8" s="27" t="inlineStr">
        <is>
          <t>🔀 Git</t>
        </is>
      </c>
      <c r="B8" s="28" t="inlineStr">
        <is>
          <t>Advanced branching: rebase, cherry-pick, bisect, worktrees</t>
        </is>
      </c>
      <c r="C8" s="27" t="inlineStr">
        <is>
          <t>Advanced</t>
        </is>
      </c>
      <c r="D8" s="27" t="n"/>
      <c r="E8" s="27" t="inlineStr">
        <is>
          <t>Not started</t>
        </is>
      </c>
      <c r="F8" s="27" t="n">
        <v>0</v>
      </c>
      <c r="G8" s="27" t="n"/>
      <c r="H8" s="27" t="n"/>
    </row>
    <row r="9">
      <c r="A9" s="26" t="inlineStr">
        <is>
          <t>🔀 Git</t>
        </is>
      </c>
      <c r="B9" s="3" t="inlineStr">
        <is>
          <t>Git hooks, submodules, LFS, GitHub branch protection</t>
        </is>
      </c>
      <c r="C9" s="26" t="inlineStr">
        <is>
          <t>Advanced</t>
        </is>
      </c>
      <c r="D9" s="26" t="n"/>
      <c r="E9" s="26" t="inlineStr">
        <is>
          <t>Not started</t>
        </is>
      </c>
      <c r="F9" s="26" t="n">
        <v>0</v>
      </c>
      <c r="G9" s="26" t="n"/>
      <c r="H9" s="26" t="n"/>
    </row>
    <row r="10">
      <c r="A10" s="27" t="inlineStr">
        <is>
          <t>🔀 Git</t>
        </is>
      </c>
      <c r="B10" s="28" t="inlineStr">
        <is>
          <t>Git workflows: Gitflow, trunk-based, feature-flag driven</t>
        </is>
      </c>
      <c r="C10" s="27" t="inlineStr">
        <is>
          <t>Advanced</t>
        </is>
      </c>
      <c r="D10" s="27" t="n"/>
      <c r="E10" s="27" t="inlineStr">
        <is>
          <t>Not started</t>
        </is>
      </c>
      <c r="F10" s="27" t="n">
        <v>0</v>
      </c>
      <c r="G10" s="27" t="n"/>
      <c r="H10" s="27" t="n"/>
    </row>
    <row r="11">
      <c r="A11" s="26" t="inlineStr">
        <is>
          <t>🐍 Scripting</t>
        </is>
      </c>
      <c r="B11" s="3" t="inlineStr">
        <is>
          <t>Bash: functions, traps, error handling, parallel, jq, getopts</t>
        </is>
      </c>
      <c r="C11" s="26" t="inlineStr">
        <is>
          <t>Advanced</t>
        </is>
      </c>
      <c r="D11" s="26" t="n"/>
      <c r="E11" s="26" t="inlineStr">
        <is>
          <t>Not started</t>
        </is>
      </c>
      <c r="F11" s="26" t="n">
        <v>0</v>
      </c>
      <c r="G11" s="26" t="n"/>
      <c r="H11" s="26" t="n"/>
    </row>
    <row r="12">
      <c r="A12" s="27" t="inlineStr">
        <is>
          <t>🐍 Scripting</t>
        </is>
      </c>
      <c r="B12" s="28" t="inlineStr">
        <is>
          <t>Python: boto3, argparse, subprocess, REST APIs, unit tests</t>
        </is>
      </c>
      <c r="C12" s="27" t="inlineStr">
        <is>
          <t>Advanced</t>
        </is>
      </c>
      <c r="D12" s="27" t="n"/>
      <c r="E12" s="27" t="inlineStr">
        <is>
          <t>Not started</t>
        </is>
      </c>
      <c r="F12" s="27" t="n">
        <v>0</v>
      </c>
      <c r="G12" s="27" t="n"/>
      <c r="H12" s="27" t="n"/>
    </row>
    <row r="13">
      <c r="A13" s="26" t="inlineStr">
        <is>
          <t>🐍 Scripting</t>
        </is>
      </c>
      <c r="B13" s="3" t="inlineStr">
        <is>
          <t>Python: automation frameworks, error handling, logging, retry</t>
        </is>
      </c>
      <c r="C13" s="26" t="inlineStr">
        <is>
          <t>Advanced</t>
        </is>
      </c>
      <c r="D13" s="26" t="n"/>
      <c r="E13" s="26" t="inlineStr">
        <is>
          <t>Not started</t>
        </is>
      </c>
      <c r="F13" s="26" t="n">
        <v>0</v>
      </c>
      <c r="G13" s="26" t="n"/>
      <c r="H13" s="26" t="n"/>
    </row>
    <row r="14">
      <c r="A14" s="27" t="inlineStr">
        <is>
          <t>🌐 Networking</t>
        </is>
      </c>
      <c r="B14" s="28" t="inlineStr">
        <is>
          <t>DNS, HTTP/2, TLS 1.3, TCP/UDP, CIDR, BGP concepts</t>
        </is>
      </c>
      <c r="C14" s="27" t="inlineStr">
        <is>
          <t>Advanced</t>
        </is>
      </c>
      <c r="D14" s="27" t="n"/>
      <c r="E14" s="27" t="inlineStr">
        <is>
          <t>Not started</t>
        </is>
      </c>
      <c r="F14" s="27" t="n">
        <v>0</v>
      </c>
      <c r="G14" s="27" t="n"/>
      <c r="H14" s="27" t="n"/>
    </row>
    <row r="15">
      <c r="A15" s="26" t="inlineStr">
        <is>
          <t>🌐 Networking</t>
        </is>
      </c>
      <c r="B15" s="3" t="inlineStr">
        <is>
          <t>Load balancing: ALB/NLB, health checks, sticky sessions</t>
        </is>
      </c>
      <c r="C15" s="26" t="inlineStr">
        <is>
          <t>Advanced</t>
        </is>
      </c>
      <c r="D15" s="26" t="n"/>
      <c r="E15" s="26" t="inlineStr">
        <is>
          <t>Not started</t>
        </is>
      </c>
      <c r="F15" s="26" t="n">
        <v>0</v>
      </c>
      <c r="G15" s="26" t="n"/>
      <c r="H15" s="26" t="n"/>
    </row>
    <row r="16">
      <c r="A16" s="27" t="inlineStr">
        <is>
          <t>🌐 Networking</t>
        </is>
      </c>
      <c r="B16" s="28" t="inlineStr">
        <is>
          <t>VPN, Direct Connect, PrivateLink, Transit Gateway</t>
        </is>
      </c>
      <c r="C16" s="27" t="inlineStr">
        <is>
          <t>Intermediate</t>
        </is>
      </c>
      <c r="D16" s="27" t="n"/>
      <c r="E16" s="27" t="inlineStr">
        <is>
          <t>Not started</t>
        </is>
      </c>
      <c r="F16" s="27" t="n">
        <v>0</v>
      </c>
      <c r="G16" s="27" t="n"/>
      <c r="H16" s="27" t="n"/>
    </row>
    <row r="17">
      <c r="A17" s="26" t="inlineStr">
        <is>
          <t>🐳 Docker</t>
        </is>
      </c>
      <c r="B17" s="3" t="inlineStr">
        <is>
          <t>Multi-stage builds, BuildKit, layer caching, distroless</t>
        </is>
      </c>
      <c r="C17" s="26" t="inlineStr">
        <is>
          <t>Advanced</t>
        </is>
      </c>
      <c r="D17" s="26" t="n"/>
      <c r="E17" s="26" t="inlineStr">
        <is>
          <t>Not started</t>
        </is>
      </c>
      <c r="F17" s="26" t="n">
        <v>0</v>
      </c>
      <c r="G17" s="26" t="n"/>
      <c r="H17" s="26" t="n"/>
    </row>
    <row r="18">
      <c r="A18" s="27" t="inlineStr">
        <is>
          <t>🐳 Docker</t>
        </is>
      </c>
      <c r="B18" s="28" t="inlineStr">
        <is>
          <t>Container security: Trivy, rootless, seccomp, AppArmor</t>
        </is>
      </c>
      <c r="C18" s="27" t="inlineStr">
        <is>
          <t>Advanced</t>
        </is>
      </c>
      <c r="D18" s="27" t="n"/>
      <c r="E18" s="27" t="inlineStr">
        <is>
          <t>Not started</t>
        </is>
      </c>
      <c r="F18" s="27" t="n">
        <v>0</v>
      </c>
      <c r="G18" s="27" t="n"/>
      <c r="H18" s="27" t="n"/>
    </row>
    <row r="19">
      <c r="A19" s="26" t="inlineStr">
        <is>
          <t>🐳 Docker</t>
        </is>
      </c>
      <c r="B19" s="3" t="inlineStr">
        <is>
          <t>Docker Compose v2, networks, volumes, resource limits</t>
        </is>
      </c>
      <c r="C19" s="26" t="inlineStr">
        <is>
          <t>Advanced</t>
        </is>
      </c>
      <c r="D19" s="26" t="n"/>
      <c r="E19" s="26" t="inlineStr">
        <is>
          <t>Not started</t>
        </is>
      </c>
      <c r="F19" s="26" t="n">
        <v>0</v>
      </c>
      <c r="G19" s="26" t="n"/>
      <c r="H19" s="26" t="n"/>
    </row>
    <row r="20">
      <c r="A20" s="27" t="inlineStr">
        <is>
          <t>🐳 Docker</t>
        </is>
      </c>
      <c r="B20" s="28" t="inlineStr">
        <is>
          <t>OCI spec, container runtime internals (runc, containerd)</t>
        </is>
      </c>
      <c r="C20" s="27" t="inlineStr">
        <is>
          <t>Intermediate</t>
        </is>
      </c>
      <c r="D20" s="27" t="n"/>
      <c r="E20" s="27" t="inlineStr">
        <is>
          <t>Not started</t>
        </is>
      </c>
      <c r="F20" s="27" t="n">
        <v>0</v>
      </c>
      <c r="G20" s="27" t="n"/>
      <c r="H20" s="27" t="n"/>
    </row>
    <row r="21">
      <c r="A21" s="26" t="inlineStr">
        <is>
          <t>🔄 CI/CD</t>
        </is>
      </c>
      <c r="B21" s="3" t="inlineStr">
        <is>
          <t>Jenkins: pipeline-as-code, shared libraries, Blue Ocean</t>
        </is>
      </c>
      <c r="C21" s="26" t="inlineStr">
        <is>
          <t>Advanced</t>
        </is>
      </c>
      <c r="D21" s="26" t="n"/>
      <c r="E21" s="26" t="inlineStr">
        <is>
          <t>Not started</t>
        </is>
      </c>
      <c r="F21" s="26" t="n">
        <v>0</v>
      </c>
      <c r="G21" s="26" t="n"/>
      <c r="H21" s="26" t="n"/>
    </row>
    <row r="22">
      <c r="A22" s="27" t="inlineStr">
        <is>
          <t>🔄 CI/CD</t>
        </is>
      </c>
      <c r="B22" s="28" t="inlineStr">
        <is>
          <t>GitHub Actions: reusable workflows, OIDC, matrix, secrets</t>
        </is>
      </c>
      <c r="C22" s="27" t="inlineStr">
        <is>
          <t>Advanced</t>
        </is>
      </c>
      <c r="D22" s="27" t="n"/>
      <c r="E22" s="27" t="inlineStr">
        <is>
          <t>Not started</t>
        </is>
      </c>
      <c r="F22" s="27" t="n">
        <v>0</v>
      </c>
      <c r="G22" s="27" t="n"/>
      <c r="H22" s="27" t="n"/>
    </row>
    <row r="23">
      <c r="A23" s="26" t="inlineStr">
        <is>
          <t>🔄 CI/CD</t>
        </is>
      </c>
      <c r="B23" s="3" t="inlineStr">
        <is>
          <t>SonarQube: quality gates, rules, pipeline blocking</t>
        </is>
      </c>
      <c r="C23" s="26" t="inlineStr">
        <is>
          <t>Advanced</t>
        </is>
      </c>
      <c r="D23" s="26" t="n"/>
      <c r="E23" s="26" t="inlineStr">
        <is>
          <t>Not started</t>
        </is>
      </c>
      <c r="F23" s="26" t="n">
        <v>0</v>
      </c>
      <c r="G23" s="26" t="n"/>
      <c r="H23" s="26" t="n"/>
    </row>
    <row r="24">
      <c r="A24" s="27" t="inlineStr">
        <is>
          <t>🔄 CI/CD</t>
        </is>
      </c>
      <c r="B24" s="28" t="inlineStr">
        <is>
          <t>Nexus/Artifactory: artifact management, proxy repos</t>
        </is>
      </c>
      <c r="C24" s="27" t="inlineStr">
        <is>
          <t>Intermediate</t>
        </is>
      </c>
      <c r="D24" s="27" t="n"/>
      <c r="E24" s="27" t="inlineStr">
        <is>
          <t>Not started</t>
        </is>
      </c>
      <c r="F24" s="27" t="n">
        <v>0</v>
      </c>
      <c r="G24" s="27" t="n"/>
      <c r="H24" s="27" t="n"/>
    </row>
    <row r="25">
      <c r="A25" s="26" t="inlineStr">
        <is>
          <t>🔄 CI/CD</t>
        </is>
      </c>
      <c r="B25" s="3" t="inlineStr">
        <is>
          <t>CD patterns: blue-green, canary, rolling, feature flags</t>
        </is>
      </c>
      <c r="C25" s="26" t="inlineStr">
        <is>
          <t>Advanced</t>
        </is>
      </c>
      <c r="D25" s="26" t="n"/>
      <c r="E25" s="26" t="inlineStr">
        <is>
          <t>Not started</t>
        </is>
      </c>
      <c r="F25" s="26" t="n">
        <v>0</v>
      </c>
      <c r="G25" s="26" t="n"/>
      <c r="H25" s="26" t="n"/>
    </row>
    <row r="26">
      <c r="A26" s="27" t="inlineStr">
        <is>
          <t>☸️ Kubernetes</t>
        </is>
      </c>
      <c r="B26" s="28" t="inlineStr">
        <is>
          <t>Architecture: API server, etcd, scheduler, kubelet</t>
        </is>
      </c>
      <c r="C26" s="27" t="inlineStr">
        <is>
          <t>Advanced</t>
        </is>
      </c>
      <c r="D26" s="27" t="n"/>
      <c r="E26" s="27" t="inlineStr">
        <is>
          <t>Not started</t>
        </is>
      </c>
      <c r="F26" s="27" t="n">
        <v>0</v>
      </c>
      <c r="G26" s="27" t="n"/>
      <c r="H26" s="27" t="n"/>
    </row>
    <row r="27">
      <c r="A27" s="26" t="inlineStr">
        <is>
          <t>☸️ Kubernetes</t>
        </is>
      </c>
      <c r="B27" s="3" t="inlineStr">
        <is>
          <t>Workloads: Deployments, StatefulSets, DaemonSets, Jobs</t>
        </is>
      </c>
      <c r="C27" s="26" t="inlineStr">
        <is>
          <t>Advanced</t>
        </is>
      </c>
      <c r="D27" s="26" t="n"/>
      <c r="E27" s="26" t="inlineStr">
        <is>
          <t>Not started</t>
        </is>
      </c>
      <c r="F27" s="26" t="n">
        <v>0</v>
      </c>
      <c r="G27" s="26" t="n"/>
      <c r="H27" s="26" t="n"/>
    </row>
    <row r="28">
      <c r="A28" s="27" t="inlineStr">
        <is>
          <t>☸️ Kubernetes</t>
        </is>
      </c>
      <c r="B28" s="28" t="inlineStr">
        <is>
          <t>Services, Ingress, NetworkPolicy, DNS resolution</t>
        </is>
      </c>
      <c r="C28" s="27" t="inlineStr">
        <is>
          <t>Advanced</t>
        </is>
      </c>
      <c r="D28" s="27" t="n"/>
      <c r="E28" s="27" t="inlineStr">
        <is>
          <t>Not started</t>
        </is>
      </c>
      <c r="F28" s="27" t="n">
        <v>0</v>
      </c>
      <c r="G28" s="27" t="n"/>
      <c r="H28" s="27" t="n"/>
    </row>
    <row r="29">
      <c r="A29" s="26" t="inlineStr">
        <is>
          <t>☸️ Kubernetes</t>
        </is>
      </c>
      <c r="B29" s="3" t="inlineStr">
        <is>
          <t>RBAC: ClusterRole, RoleBinding, ServiceAccount, audit</t>
        </is>
      </c>
      <c r="C29" s="26" t="inlineStr">
        <is>
          <t>Advanced</t>
        </is>
      </c>
      <c r="D29" s="26" t="n"/>
      <c r="E29" s="26" t="inlineStr">
        <is>
          <t>Not started</t>
        </is>
      </c>
      <c r="F29" s="26" t="n">
        <v>0</v>
      </c>
      <c r="G29" s="26" t="n"/>
      <c r="H29" s="26" t="n"/>
    </row>
    <row r="30">
      <c r="A30" s="27" t="inlineStr">
        <is>
          <t>☸️ Kubernetes</t>
        </is>
      </c>
      <c r="B30" s="28" t="inlineStr">
        <is>
          <t>HPA/VPA, Cluster Autoscaler, Karpenter concepts</t>
        </is>
      </c>
      <c r="C30" s="27" t="inlineStr">
        <is>
          <t>Advanced</t>
        </is>
      </c>
      <c r="D30" s="27" t="n"/>
      <c r="E30" s="27" t="inlineStr">
        <is>
          <t>Not started</t>
        </is>
      </c>
      <c r="F30" s="27" t="n">
        <v>0</v>
      </c>
      <c r="G30" s="27" t="n"/>
      <c r="H30" s="27" t="n"/>
    </row>
    <row r="31">
      <c r="A31" s="26" t="inlineStr">
        <is>
          <t>☸️ Kubernetes</t>
        </is>
      </c>
      <c r="B31" s="3" t="inlineStr">
        <is>
          <t>Helm 3: charts, hooks, values, templating, registry</t>
        </is>
      </c>
      <c r="C31" s="26" t="inlineStr">
        <is>
          <t>Advanced</t>
        </is>
      </c>
      <c r="D31" s="26" t="n"/>
      <c r="E31" s="26" t="inlineStr">
        <is>
          <t>Not started</t>
        </is>
      </c>
      <c r="F31" s="26" t="n">
        <v>0</v>
      </c>
      <c r="G31" s="26" t="n"/>
      <c r="H31" s="26" t="n"/>
    </row>
    <row r="32">
      <c r="A32" s="27" t="inlineStr">
        <is>
          <t>☸️ Kubernetes</t>
        </is>
      </c>
      <c r="B32" s="28" t="inlineStr">
        <is>
          <t>Storage: PV, PVC, StorageClass, CSI drivers</t>
        </is>
      </c>
      <c r="C32" s="27" t="inlineStr">
        <is>
          <t>Advanced</t>
        </is>
      </c>
      <c r="D32" s="27" t="n"/>
      <c r="E32" s="27" t="inlineStr">
        <is>
          <t>Not started</t>
        </is>
      </c>
      <c r="F32" s="27" t="n">
        <v>0</v>
      </c>
      <c r="G32" s="27" t="n"/>
      <c r="H32" s="27" t="n"/>
    </row>
    <row r="33">
      <c r="A33" s="26" t="inlineStr">
        <is>
          <t>☸️ Kubernetes</t>
        </is>
      </c>
      <c r="B33" s="3" t="inlineStr">
        <is>
          <t>Pod Security Standards, securityContext, OPA/Gatekeeper</t>
        </is>
      </c>
      <c r="C33" s="26" t="inlineStr">
        <is>
          <t>Advanced</t>
        </is>
      </c>
      <c r="D33" s="26" t="n"/>
      <c r="E33" s="26" t="inlineStr">
        <is>
          <t>Not started</t>
        </is>
      </c>
      <c r="F33" s="26" t="n">
        <v>0</v>
      </c>
      <c r="G33" s="26" t="n"/>
      <c r="H33" s="26" t="n"/>
    </row>
    <row r="34">
      <c r="A34" s="27" t="inlineStr">
        <is>
          <t>☸️ Kubernetes</t>
        </is>
      </c>
      <c r="B34" s="28" t="inlineStr">
        <is>
          <t>Troubleshooting: CrashLoop, OOMKilled, Pending, Evicted</t>
        </is>
      </c>
      <c r="C34" s="27" t="inlineStr">
        <is>
          <t>Advanced</t>
        </is>
      </c>
      <c r="D34" s="27" t="n"/>
      <c r="E34" s="27" t="inlineStr">
        <is>
          <t>Not started</t>
        </is>
      </c>
      <c r="F34" s="27" t="n">
        <v>0</v>
      </c>
      <c r="G34" s="27" t="n"/>
      <c r="H34" s="27" t="n"/>
    </row>
    <row r="35">
      <c r="A35" s="26" t="inlineStr">
        <is>
          <t>🏗️ Terraform</t>
        </is>
      </c>
      <c r="B35" s="3" t="inlineStr">
        <is>
          <t>Remote state: S3+DynamoDB; locking; import; mv; rm</t>
        </is>
      </c>
      <c r="C35" s="26" t="inlineStr">
        <is>
          <t>Advanced</t>
        </is>
      </c>
      <c r="D35" s="26" t="n"/>
      <c r="E35" s="26" t="inlineStr">
        <is>
          <t>Not started</t>
        </is>
      </c>
      <c r="F35" s="26" t="n">
        <v>0</v>
      </c>
      <c r="G35" s="26" t="n"/>
      <c r="H35" s="26" t="n"/>
    </row>
    <row r="36">
      <c r="A36" s="27" t="inlineStr">
        <is>
          <t>🏗️ Terraform</t>
        </is>
      </c>
      <c r="B36" s="28" t="inlineStr">
        <is>
          <t>Modules: design, versioning, registry, reuse patterns</t>
        </is>
      </c>
      <c r="C36" s="27" t="inlineStr">
        <is>
          <t>Advanced</t>
        </is>
      </c>
      <c r="D36" s="27" t="n"/>
      <c r="E36" s="27" t="inlineStr">
        <is>
          <t>Not started</t>
        </is>
      </c>
      <c r="F36" s="27" t="n">
        <v>0</v>
      </c>
      <c r="G36" s="27" t="n"/>
      <c r="H36" s="27" t="n"/>
    </row>
    <row r="37">
      <c r="A37" s="26" t="inlineStr">
        <is>
          <t>🏗️ Terraform</t>
        </is>
      </c>
      <c r="B37" s="3" t="inlineStr">
        <is>
          <t>Advanced HCL: for_each, count, dynamic, locals, conditions</t>
        </is>
      </c>
      <c r="C37" s="26" t="inlineStr">
        <is>
          <t>Advanced</t>
        </is>
      </c>
      <c r="D37" s="26" t="n"/>
      <c r="E37" s="26" t="inlineStr">
        <is>
          <t>Not started</t>
        </is>
      </c>
      <c r="F37" s="26" t="n">
        <v>0</v>
      </c>
      <c r="G37" s="26" t="n"/>
      <c r="H37" s="26" t="n"/>
    </row>
    <row r="38">
      <c r="A38" s="27" t="inlineStr">
        <is>
          <t>🏗️ Terraform</t>
        </is>
      </c>
      <c r="B38" s="28" t="inlineStr">
        <is>
          <t>Atlantis PR workflow; plan/apply automation</t>
        </is>
      </c>
      <c r="C38" s="27" t="inlineStr">
        <is>
          <t>Intermediate</t>
        </is>
      </c>
      <c r="D38" s="27" t="n"/>
      <c r="E38" s="27" t="inlineStr">
        <is>
          <t>Not started</t>
        </is>
      </c>
      <c r="F38" s="27" t="n">
        <v>0</v>
      </c>
      <c r="G38" s="27" t="n"/>
      <c r="H38" s="27" t="n"/>
    </row>
    <row r="39">
      <c r="A39" s="26" t="inlineStr">
        <is>
          <t>🏗️ Terraform</t>
        </is>
      </c>
      <c r="B39" s="3" t="inlineStr">
        <is>
          <t>Terragrunt: DRY patterns, environment management</t>
        </is>
      </c>
      <c r="C39" s="26" t="inlineStr">
        <is>
          <t>Intermediate</t>
        </is>
      </c>
      <c r="D39" s="26" t="n"/>
      <c r="E39" s="26" t="inlineStr">
        <is>
          <t>Not started</t>
        </is>
      </c>
      <c r="F39" s="26" t="n">
        <v>0</v>
      </c>
      <c r="G39" s="26" t="n"/>
      <c r="H39" s="26" t="n"/>
    </row>
    <row r="40">
      <c r="A40" s="27" t="inlineStr">
        <is>
          <t>☁️ AWS Core</t>
        </is>
      </c>
      <c r="B40" s="28" t="inlineStr">
        <is>
          <t>IAM: policies, PB, SCP, assume-role, cross-account, ABAC</t>
        </is>
      </c>
      <c r="C40" s="27" t="inlineStr">
        <is>
          <t>Advanced</t>
        </is>
      </c>
      <c r="D40" s="27" t="n"/>
      <c r="E40" s="27" t="inlineStr">
        <is>
          <t>Not started</t>
        </is>
      </c>
      <c r="F40" s="27" t="n">
        <v>0</v>
      </c>
      <c r="G40" s="27" t="n"/>
      <c r="H40" s="27" t="n"/>
    </row>
    <row r="41">
      <c r="A41" s="26" t="inlineStr">
        <is>
          <t>☁️ AWS Core</t>
        </is>
      </c>
      <c r="B41" s="3" t="inlineStr">
        <is>
          <t>VPC: subnets, TGW, VPC peering, PrivateLink, VPN</t>
        </is>
      </c>
      <c r="C41" s="26" t="inlineStr">
        <is>
          <t>Advanced</t>
        </is>
      </c>
      <c r="D41" s="26" t="n"/>
      <c r="E41" s="26" t="inlineStr">
        <is>
          <t>Not started</t>
        </is>
      </c>
      <c r="F41" s="26" t="n">
        <v>0</v>
      </c>
      <c r="G41" s="26" t="n"/>
      <c r="H41" s="26" t="n"/>
    </row>
    <row r="42">
      <c r="A42" s="27" t="inlineStr">
        <is>
          <t>☁️ AWS Core</t>
        </is>
      </c>
      <c r="B42" s="28" t="inlineStr">
        <is>
          <t>EC2: launch templates, ASG lifecycle hooks, spot, placement</t>
        </is>
      </c>
      <c r="C42" s="27" t="inlineStr">
        <is>
          <t>Advanced</t>
        </is>
      </c>
      <c r="D42" s="27" t="n"/>
      <c r="E42" s="27" t="inlineStr">
        <is>
          <t>Not started</t>
        </is>
      </c>
      <c r="F42" s="27" t="n">
        <v>0</v>
      </c>
      <c r="G42" s="27" t="n"/>
      <c r="H42" s="27" t="n"/>
    </row>
    <row r="43">
      <c r="A43" s="26" t="inlineStr">
        <is>
          <t>☁️ AWS Core</t>
        </is>
      </c>
      <c r="B43" s="3" t="inlineStr">
        <is>
          <t>S3: versioning, lifecycle, CRR, pre-signed URLs, events</t>
        </is>
      </c>
      <c r="C43" s="26" t="inlineStr">
        <is>
          <t>Advanced</t>
        </is>
      </c>
      <c r="D43" s="26" t="n"/>
      <c r="E43" s="26" t="inlineStr">
        <is>
          <t>Not started</t>
        </is>
      </c>
      <c r="F43" s="26" t="n">
        <v>0</v>
      </c>
      <c r="G43" s="26" t="n"/>
      <c r="H43" s="26" t="n"/>
    </row>
    <row r="44">
      <c r="A44" s="27" t="inlineStr">
        <is>
          <t>☁️ AWS Core</t>
        </is>
      </c>
      <c r="B44" s="28" t="inlineStr">
        <is>
          <t>ALB/NLB: routing, TG health, HTTPS, WAF integration</t>
        </is>
      </c>
      <c r="C44" s="27" t="inlineStr">
        <is>
          <t>Advanced</t>
        </is>
      </c>
      <c r="D44" s="27" t="n"/>
      <c r="E44" s="27" t="inlineStr">
        <is>
          <t>Not started</t>
        </is>
      </c>
      <c r="F44" s="27" t="n">
        <v>0</v>
      </c>
      <c r="G44" s="27" t="n"/>
      <c r="H44" s="27" t="n"/>
    </row>
    <row r="45">
      <c r="A45" s="26" t="inlineStr">
        <is>
          <t>🚢 AWS EKS</t>
        </is>
      </c>
      <c r="B45" s="3" t="inlineStr">
        <is>
          <t>EKS: managed nodes, Fargate, add-ons, CNI, upgrade</t>
        </is>
      </c>
      <c r="C45" s="26" t="inlineStr">
        <is>
          <t>Advanced</t>
        </is>
      </c>
      <c r="D45" s="26" t="n"/>
      <c r="E45" s="26" t="inlineStr">
        <is>
          <t>Not started</t>
        </is>
      </c>
      <c r="F45" s="26" t="n">
        <v>0</v>
      </c>
      <c r="G45" s="26" t="n"/>
      <c r="H45" s="26" t="n"/>
    </row>
    <row r="46">
      <c r="A46" s="27" t="inlineStr">
        <is>
          <t>🚢 AWS EKS</t>
        </is>
      </c>
      <c r="B46" s="28" t="inlineStr">
        <is>
          <t>IRSA: OIDC provider, ServiceAccount annotation, pod access</t>
        </is>
      </c>
      <c r="C46" s="27" t="inlineStr">
        <is>
          <t>Advanced</t>
        </is>
      </c>
      <c r="D46" s="27" t="n"/>
      <c r="E46" s="27" t="inlineStr">
        <is>
          <t>Not started</t>
        </is>
      </c>
      <c r="F46" s="27" t="n">
        <v>0</v>
      </c>
      <c r="G46" s="27" t="n"/>
      <c r="H46" s="27" t="n"/>
    </row>
    <row r="47">
      <c r="A47" s="26" t="inlineStr">
        <is>
          <t>🚢 AWS EKS</t>
        </is>
      </c>
      <c r="B47" s="3" t="inlineStr">
        <is>
          <t>AWS LB Controller, ExternalDNS, Route53 integration</t>
        </is>
      </c>
      <c r="C47" s="26" t="inlineStr">
        <is>
          <t>Advanced</t>
        </is>
      </c>
      <c r="D47" s="26" t="n"/>
      <c r="E47" s="26" t="inlineStr">
        <is>
          <t>Not started</t>
        </is>
      </c>
      <c r="F47" s="26" t="n">
        <v>0</v>
      </c>
      <c r="G47" s="26" t="n"/>
      <c r="H47" s="26" t="n"/>
    </row>
    <row r="48">
      <c r="A48" s="27" t="inlineStr">
        <is>
          <t>🚢 AWS EKS</t>
        </is>
      </c>
      <c r="B48" s="28" t="inlineStr">
        <is>
          <t>Cluster Autoscaler, Karpenter, node group strategies</t>
        </is>
      </c>
      <c r="C48" s="27" t="inlineStr">
        <is>
          <t>Advanced</t>
        </is>
      </c>
      <c r="D48" s="27" t="n"/>
      <c r="E48" s="27" t="inlineStr">
        <is>
          <t>Not started</t>
        </is>
      </c>
      <c r="F48" s="27" t="n">
        <v>0</v>
      </c>
      <c r="G48" s="27" t="n"/>
      <c r="H48" s="27" t="n"/>
    </row>
    <row r="49">
      <c r="A49" s="26" t="inlineStr">
        <is>
          <t>🚢 AWS EKS</t>
        </is>
      </c>
      <c r="B49" s="3" t="inlineStr">
        <is>
          <t>ECR: lifecycle, image scanning, pull-through cache</t>
        </is>
      </c>
      <c r="C49" s="26" t="inlineStr">
        <is>
          <t>Intermediate</t>
        </is>
      </c>
      <c r="D49" s="26" t="n"/>
      <c r="E49" s="26" t="inlineStr">
        <is>
          <t>Not started</t>
        </is>
      </c>
      <c r="F49" s="26" t="n">
        <v>0</v>
      </c>
      <c r="G49" s="26" t="n"/>
      <c r="H49" s="26" t="n"/>
    </row>
    <row r="50">
      <c r="A50" s="27" t="inlineStr">
        <is>
          <t>☁️ AWS Adv</t>
        </is>
      </c>
      <c r="B50" s="28" t="inlineStr">
        <is>
          <t>RDS: Multi-AZ, read replicas, param groups, IAM auth</t>
        </is>
      </c>
      <c r="C50" s="27" t="inlineStr">
        <is>
          <t>Advanced</t>
        </is>
      </c>
      <c r="D50" s="27" t="n"/>
      <c r="E50" s="27" t="inlineStr">
        <is>
          <t>Not started</t>
        </is>
      </c>
      <c r="F50" s="27" t="n">
        <v>0</v>
      </c>
      <c r="G50" s="27" t="n"/>
      <c r="H50" s="27" t="n"/>
    </row>
    <row r="51">
      <c r="A51" s="26" t="inlineStr">
        <is>
          <t>☁️ AWS Adv</t>
        </is>
      </c>
      <c r="B51" s="3" t="inlineStr">
        <is>
          <t>Lambda: triggers, layers, concurrency, cold start, SAM</t>
        </is>
      </c>
      <c r="C51" s="26" t="inlineStr">
        <is>
          <t>Advanced</t>
        </is>
      </c>
      <c r="D51" s="26" t="n"/>
      <c r="E51" s="26" t="inlineStr">
        <is>
          <t>Not started</t>
        </is>
      </c>
      <c r="F51" s="26" t="n">
        <v>0</v>
      </c>
      <c r="G51" s="26" t="n"/>
      <c r="H51" s="26" t="n"/>
    </row>
    <row r="52">
      <c r="A52" s="27" t="inlineStr">
        <is>
          <t>☁️ AWS Adv</t>
        </is>
      </c>
      <c r="B52" s="28" t="inlineStr">
        <is>
          <t>SQS/SNS/EventBridge: event-driven patterns, DLQ</t>
        </is>
      </c>
      <c r="C52" s="27" t="inlineStr">
        <is>
          <t>Advanced</t>
        </is>
      </c>
      <c r="D52" s="27" t="n"/>
      <c r="E52" s="27" t="inlineStr">
        <is>
          <t>Not started</t>
        </is>
      </c>
      <c r="F52" s="27" t="n">
        <v>0</v>
      </c>
      <c r="G52" s="27" t="n"/>
      <c r="H52" s="27" t="n"/>
    </row>
    <row r="53">
      <c r="A53" s="26" t="inlineStr">
        <is>
          <t>☁️ AWS Adv</t>
        </is>
      </c>
      <c r="B53" s="3" t="inlineStr">
        <is>
          <t>CloudFront, Route 53, health checks, failover routing</t>
        </is>
      </c>
      <c r="C53" s="26" t="inlineStr">
        <is>
          <t>Advanced</t>
        </is>
      </c>
      <c r="D53" s="26" t="n"/>
      <c r="E53" s="26" t="inlineStr">
        <is>
          <t>Not started</t>
        </is>
      </c>
      <c r="F53" s="26" t="n">
        <v>0</v>
      </c>
      <c r="G53" s="26" t="n"/>
      <c r="H53" s="26" t="n"/>
    </row>
    <row r="54">
      <c r="A54" s="27" t="inlineStr">
        <is>
          <t>☁️ AWS Adv</t>
        </is>
      </c>
      <c r="B54" s="28" t="inlineStr">
        <is>
          <t>Secrets Manager, Parameter Store, KMS CMK rotation</t>
        </is>
      </c>
      <c r="C54" s="27" t="inlineStr">
        <is>
          <t>Advanced</t>
        </is>
      </c>
      <c r="D54" s="27" t="n"/>
      <c r="E54" s="27" t="inlineStr">
        <is>
          <t>Not started</t>
        </is>
      </c>
      <c r="F54" s="27" t="n">
        <v>0</v>
      </c>
      <c r="G54" s="27" t="n"/>
      <c r="H54" s="27" t="n"/>
    </row>
    <row r="55" ht="24" customHeight="1" s="52">
      <c r="A55" s="26" t="inlineStr">
        <is>
          <t>📊 Observability</t>
        </is>
      </c>
      <c r="B55" s="3" t="inlineStr">
        <is>
          <t>CloudWatch: custom metrics, alarms, Log Insights, dashboards</t>
        </is>
      </c>
      <c r="C55" s="26" t="inlineStr">
        <is>
          <t>Advanced</t>
        </is>
      </c>
      <c r="D55" s="26" t="n"/>
      <c r="E55" s="26" t="inlineStr">
        <is>
          <t>Not started</t>
        </is>
      </c>
      <c r="F55" s="26" t="n">
        <v>0</v>
      </c>
      <c r="G55" s="26" t="n"/>
      <c r="H55" s="26" t="n"/>
    </row>
    <row r="56" ht="24" customHeight="1" s="52">
      <c r="A56" s="27" t="inlineStr">
        <is>
          <t>📊 Observability</t>
        </is>
      </c>
      <c r="B56" s="28" t="inlineStr">
        <is>
          <t>Prometheus + Grafana: PromQL, kube-prometheus-stack, alerts</t>
        </is>
      </c>
      <c r="C56" s="27" t="inlineStr">
        <is>
          <t>Advanced</t>
        </is>
      </c>
      <c r="D56" s="27" t="n"/>
      <c r="E56" s="27" t="inlineStr">
        <is>
          <t>Not started</t>
        </is>
      </c>
      <c r="F56" s="27" t="n">
        <v>0</v>
      </c>
      <c r="G56" s="27" t="n"/>
      <c r="H56" s="27" t="n"/>
    </row>
    <row r="57">
      <c r="A57" s="26" t="inlineStr">
        <is>
          <t>📊 Observability</t>
        </is>
      </c>
      <c r="B57" s="3" t="inlineStr">
        <is>
          <t>Distributed tracing: X-Ray, OpenTelemetry concepts</t>
        </is>
      </c>
      <c r="C57" s="26" t="inlineStr">
        <is>
          <t>Intermediate</t>
        </is>
      </c>
      <c r="D57" s="26" t="n"/>
      <c r="E57" s="26" t="inlineStr">
        <is>
          <t>Not started</t>
        </is>
      </c>
      <c r="F57" s="26" t="n">
        <v>0</v>
      </c>
      <c r="G57" s="26" t="n"/>
      <c r="H57" s="26" t="n"/>
    </row>
    <row r="58">
      <c r="A58" s="27" t="inlineStr">
        <is>
          <t>📊 Observability</t>
        </is>
      </c>
      <c r="B58" s="28" t="inlineStr">
        <is>
          <t>SLI/SLO/Error budget: definition, tooling, runbooks</t>
        </is>
      </c>
      <c r="C58" s="27" t="inlineStr">
        <is>
          <t>Advanced</t>
        </is>
      </c>
      <c r="D58" s="27" t="n"/>
      <c r="E58" s="27" t="inlineStr">
        <is>
          <t>Not started</t>
        </is>
      </c>
      <c r="F58" s="27" t="n">
        <v>0</v>
      </c>
      <c r="G58" s="27" t="n"/>
      <c r="H58" s="27" t="n"/>
    </row>
    <row r="59">
      <c r="A59" s="26" t="inlineStr">
        <is>
          <t>📊 Observability</t>
        </is>
      </c>
      <c r="B59" s="3" t="inlineStr">
        <is>
          <t>Incident management: runbooks, post-mortems, blameless</t>
        </is>
      </c>
      <c r="C59" s="26" t="inlineStr">
        <is>
          <t>Advanced</t>
        </is>
      </c>
      <c r="D59" s="26" t="n"/>
      <c r="E59" s="26" t="inlineStr">
        <is>
          <t>Not started</t>
        </is>
      </c>
      <c r="F59" s="26" t="n">
        <v>0</v>
      </c>
      <c r="G59" s="26" t="n"/>
      <c r="H59" s="26" t="n"/>
    </row>
    <row r="60">
      <c r="A60" s="27" t="inlineStr">
        <is>
          <t>🔐 Security</t>
        </is>
      </c>
      <c r="B60" s="28" t="inlineStr">
        <is>
          <t>GuardDuty + Security Hub + Inspector + AWS Config</t>
        </is>
      </c>
      <c r="C60" s="27" t="inlineStr">
        <is>
          <t>Advanced</t>
        </is>
      </c>
      <c r="D60" s="27" t="n"/>
      <c r="E60" s="27" t="inlineStr">
        <is>
          <t>Not started</t>
        </is>
      </c>
      <c r="F60" s="27" t="n">
        <v>0</v>
      </c>
      <c r="G60" s="27" t="n"/>
      <c r="H60" s="27" t="n"/>
    </row>
    <row r="61">
      <c r="A61" s="26" t="inlineStr">
        <is>
          <t>🔐 Security</t>
        </is>
      </c>
      <c r="B61" s="3" t="inlineStr">
        <is>
          <t>WAF: OWASP rules, rate limiting, managed rule groups</t>
        </is>
      </c>
      <c r="C61" s="26" t="inlineStr">
        <is>
          <t>Advanced</t>
        </is>
      </c>
      <c r="D61" s="26" t="n"/>
      <c r="E61" s="26" t="inlineStr">
        <is>
          <t>Not started</t>
        </is>
      </c>
      <c r="F61" s="26" t="n">
        <v>0</v>
      </c>
      <c r="G61" s="26" t="n"/>
      <c r="H61" s="26" t="n"/>
    </row>
    <row r="62">
      <c r="A62" s="27" t="inlineStr">
        <is>
          <t>🔐 Security</t>
        </is>
      </c>
      <c r="B62" s="28" t="inlineStr">
        <is>
          <t>KMS: CMK, key rotation, envelope encryption, grants</t>
        </is>
      </c>
      <c r="C62" s="27" t="inlineStr">
        <is>
          <t>Advanced</t>
        </is>
      </c>
      <c r="D62" s="27" t="n"/>
      <c r="E62" s="27" t="inlineStr">
        <is>
          <t>Not started</t>
        </is>
      </c>
      <c r="F62" s="27" t="n">
        <v>0</v>
      </c>
      <c r="G62" s="27" t="n"/>
      <c r="H62" s="27" t="n"/>
    </row>
    <row r="63">
      <c r="A63" s="26" t="inlineStr">
        <is>
          <t>🔐 Security</t>
        </is>
      </c>
      <c r="B63" s="3" t="inlineStr">
        <is>
          <t>Container security: Falco, image scanning, PSS, distroless</t>
        </is>
      </c>
      <c r="C63" s="26" t="inlineStr">
        <is>
          <t>Advanced</t>
        </is>
      </c>
      <c r="D63" s="26" t="n"/>
      <c r="E63" s="26" t="inlineStr">
        <is>
          <t>Not started</t>
        </is>
      </c>
      <c r="F63" s="26" t="n">
        <v>0</v>
      </c>
      <c r="G63" s="26" t="n"/>
      <c r="H63" s="26" t="n"/>
    </row>
    <row r="64">
      <c r="A64" s="27" t="inlineStr">
        <is>
          <t>🔐 Security</t>
        </is>
      </c>
      <c r="B64" s="28" t="inlineStr">
        <is>
          <t>IAM Access Analyzer, VPC Flow Logs, CloudTrail analysis</t>
        </is>
      </c>
      <c r="C64" s="27" t="inlineStr">
        <is>
          <t>Advanced</t>
        </is>
      </c>
      <c r="D64" s="27" t="n"/>
      <c r="E64" s="27" t="inlineStr">
        <is>
          <t>Not started</t>
        </is>
      </c>
      <c r="F64" s="27" t="n">
        <v>0</v>
      </c>
      <c r="G64" s="27" t="n"/>
      <c r="H64" s="27" t="n"/>
    </row>
    <row r="65">
      <c r="A65" s="26" t="inlineStr">
        <is>
          <t>🔐 Security</t>
        </is>
      </c>
      <c r="B65" s="3" t="inlineStr">
        <is>
          <t>SAST/DAST in pipelines; dep scanning; CIS benchmarks</t>
        </is>
      </c>
      <c r="C65" s="26" t="inlineStr">
        <is>
          <t>Advanced</t>
        </is>
      </c>
      <c r="D65" s="26" t="n"/>
      <c r="E65" s="26" t="inlineStr">
        <is>
          <t>Not started</t>
        </is>
      </c>
      <c r="F65" s="26" t="n">
        <v>0</v>
      </c>
      <c r="G65" s="26" t="n"/>
      <c r="H65" s="26" t="n"/>
    </row>
    <row r="66">
      <c r="A66" s="27" t="inlineStr">
        <is>
          <t>🔀 GitOps</t>
        </is>
      </c>
      <c r="B66" s="28" t="inlineStr">
        <is>
          <t>ArgoCD: app-of-apps, sync policy, RBAC, notifications</t>
        </is>
      </c>
      <c r="C66" s="27" t="inlineStr">
        <is>
          <t>Advanced</t>
        </is>
      </c>
      <c r="D66" s="27" t="n"/>
      <c r="E66" s="27" t="inlineStr">
        <is>
          <t>Not started</t>
        </is>
      </c>
      <c r="F66" s="27" t="n">
        <v>0</v>
      </c>
      <c r="G66" s="27" t="n"/>
      <c r="H66" s="27" t="n"/>
    </row>
    <row r="67">
      <c r="A67" s="26" t="inlineStr">
        <is>
          <t>🔀 GitOps</t>
        </is>
      </c>
      <c r="B67" s="3" t="inlineStr">
        <is>
          <t>Argo Rollouts: canary, blue-green, analysis, auto-promote</t>
        </is>
      </c>
      <c r="C67" s="26" t="inlineStr">
        <is>
          <t>Advanced</t>
        </is>
      </c>
      <c r="D67" s="26" t="n"/>
      <c r="E67" s="26" t="inlineStr">
        <is>
          <t>Not started</t>
        </is>
      </c>
      <c r="F67" s="26" t="n">
        <v>0</v>
      </c>
      <c r="G67" s="26" t="n"/>
      <c r="H67" s="26" t="n"/>
    </row>
    <row r="68">
      <c r="A68" s="27" t="inlineStr">
        <is>
          <t>🔀 GitOps</t>
        </is>
      </c>
      <c r="B68" s="28" t="inlineStr">
        <is>
          <t>External Secrets Operator + AWS Secrets Manager</t>
        </is>
      </c>
      <c r="C68" s="27" t="inlineStr">
        <is>
          <t>Advanced</t>
        </is>
      </c>
      <c r="D68" s="27" t="n"/>
      <c r="E68" s="27" t="inlineStr">
        <is>
          <t>Not started</t>
        </is>
      </c>
      <c r="F68" s="27" t="n">
        <v>0</v>
      </c>
      <c r="G68" s="27" t="n"/>
      <c r="H68" s="27" t="n"/>
    </row>
    <row r="69">
      <c r="A69" s="26" t="inlineStr">
        <is>
          <t>🔀 GitOps</t>
        </is>
      </c>
      <c r="B69" s="3" t="inlineStr">
        <is>
          <t>Flux v2: HelmRelease, Kustomization, image automation</t>
        </is>
      </c>
      <c r="C69" s="26" t="inlineStr">
        <is>
          <t>Intermediate</t>
        </is>
      </c>
      <c r="D69" s="26" t="n"/>
      <c r="E69" s="26" t="inlineStr">
        <is>
          <t>Not started</t>
        </is>
      </c>
      <c r="F69" s="26" t="n">
        <v>0</v>
      </c>
      <c r="G69" s="26" t="n"/>
      <c r="H69" s="26" t="n"/>
    </row>
    <row r="70">
      <c r="A70" s="27" t="inlineStr">
        <is>
          <t>💰 Cost Opt</t>
        </is>
      </c>
      <c r="B70" s="28" t="inlineStr">
        <is>
          <t>Cost Explorer, Budgets, Savings Plans, rightsizing</t>
        </is>
      </c>
      <c r="C70" s="27" t="inlineStr">
        <is>
          <t>Advanced</t>
        </is>
      </c>
      <c r="D70" s="27" t="n"/>
      <c r="E70" s="27" t="inlineStr">
        <is>
          <t>Not started</t>
        </is>
      </c>
      <c r="F70" s="27" t="n">
        <v>0</v>
      </c>
      <c r="G70" s="27" t="n"/>
      <c r="H70" s="27" t="n"/>
    </row>
    <row r="71">
      <c r="A71" s="26" t="inlineStr">
        <is>
          <t>💰 Cost Opt</t>
        </is>
      </c>
      <c r="B71" s="3" t="inlineStr">
        <is>
          <t>Spot strategy, mixed instance fleet, interruption handling</t>
        </is>
      </c>
      <c r="C71" s="26" t="inlineStr">
        <is>
          <t>Advanced</t>
        </is>
      </c>
      <c r="D71" s="26" t="n"/>
      <c r="E71" s="26" t="inlineStr">
        <is>
          <t>Not started</t>
        </is>
      </c>
      <c r="F71" s="26" t="n">
        <v>0</v>
      </c>
      <c r="G71" s="26" t="n"/>
      <c r="H71" s="26" t="n"/>
    </row>
    <row r="72">
      <c r="A72" s="27" t="inlineStr">
        <is>
          <t>🏢 Multi-Acct</t>
        </is>
      </c>
      <c r="B72" s="28" t="inlineStr">
        <is>
          <t>AWS Organizations, Control Tower, Landing Zone, SCPs</t>
        </is>
      </c>
      <c r="C72" s="27" t="inlineStr">
        <is>
          <t>Advanced</t>
        </is>
      </c>
      <c r="D72" s="27" t="n"/>
      <c r="E72" s="27" t="inlineStr">
        <is>
          <t>Not started</t>
        </is>
      </c>
      <c r="F72" s="27" t="n">
        <v>0</v>
      </c>
      <c r="G72" s="27" t="n"/>
      <c r="H72" s="27" t="n"/>
    </row>
    <row r="73">
      <c r="A73" s="26" t="inlineStr">
        <is>
          <t>🏢 Multi-Acct</t>
        </is>
      </c>
      <c r="B73" s="3" t="inlineStr">
        <is>
          <t>AWS Config rules, tagging strategy, chargeback/showback</t>
        </is>
      </c>
      <c r="C73" s="26" t="inlineStr">
        <is>
          <t>Intermediate</t>
        </is>
      </c>
      <c r="D73" s="26" t="n"/>
      <c r="E73" s="26" t="inlineStr">
        <is>
          <t>Not started</t>
        </is>
      </c>
      <c r="F73" s="26" t="n">
        <v>0</v>
      </c>
      <c r="G73" s="26" t="n"/>
      <c r="H73" s="26" t="n"/>
    </row>
    <row r="74">
      <c r="A74" s="27" t="inlineStr">
        <is>
          <t>🏛️ Design</t>
        </is>
      </c>
      <c r="B74" s="28" t="inlineStr">
        <is>
          <t>CI/CD platform design for 100+ microservices</t>
        </is>
      </c>
      <c r="C74" s="27" t="inlineStr">
        <is>
          <t>Advanced</t>
        </is>
      </c>
      <c r="D74" s="27" t="n"/>
      <c r="E74" s="27" t="inlineStr">
        <is>
          <t>Not started</t>
        </is>
      </c>
      <c r="F74" s="27" t="n">
        <v>0</v>
      </c>
      <c r="G74" s="27" t="n"/>
      <c r="H74" s="27" t="n"/>
    </row>
    <row r="75">
      <c r="A75" s="26" t="inlineStr">
        <is>
          <t>🏛️ Design</t>
        </is>
      </c>
      <c r="B75" s="3" t="inlineStr">
        <is>
          <t>Multi-region active-active; DR design (RTO/RPO)</t>
        </is>
      </c>
      <c r="C75" s="26" t="inlineStr">
        <is>
          <t>Advanced</t>
        </is>
      </c>
      <c r="D75" s="26" t="n"/>
      <c r="E75" s="26" t="inlineStr">
        <is>
          <t>Not started</t>
        </is>
      </c>
      <c r="F75" s="26" t="n">
        <v>0</v>
      </c>
      <c r="G75" s="26" t="n"/>
      <c r="H75" s="26" t="n"/>
    </row>
    <row r="76">
      <c r="A76" s="27" t="inlineStr">
        <is>
          <t>🏛️ Design</t>
        </is>
      </c>
      <c r="B76" s="28" t="inlineStr">
        <is>
          <t>Zero-downtime deploy strategies at scale</t>
        </is>
      </c>
      <c r="C76" s="27" t="inlineStr">
        <is>
          <t>Advanced</t>
        </is>
      </c>
      <c r="D76" s="27" t="n"/>
      <c r="E76" s="27" t="inlineStr">
        <is>
          <t>Not started</t>
        </is>
      </c>
      <c r="F76" s="27" t="n">
        <v>0</v>
      </c>
      <c r="G76" s="27" t="n"/>
      <c r="H76" s="27" t="n"/>
    </row>
    <row r="77">
      <c r="A77" s="26" t="inlineStr">
        <is>
          <t>🏛️ Design</t>
        </is>
      </c>
      <c r="B77" s="3" t="inlineStr">
        <is>
          <t>AWS Well-Architected Framework all 6 pillars</t>
        </is>
      </c>
      <c r="C77" s="26" t="inlineStr">
        <is>
          <t>Advanced</t>
        </is>
      </c>
      <c r="D77" s="26" t="n"/>
      <c r="E77" s="26" t="inlineStr">
        <is>
          <t>Not started</t>
        </is>
      </c>
      <c r="F77" s="26" t="n">
        <v>0</v>
      </c>
      <c r="G77" s="26" t="n"/>
      <c r="H77" s="26" t="n"/>
    </row>
    <row r="78">
      <c r="A78" s="27" t="inlineStr">
        <is>
          <t>🎓 Certs</t>
        </is>
      </c>
      <c r="B78" s="28" t="inlineStr">
        <is>
          <t>AWS Solutions Architect Associate (SAA-C03)</t>
        </is>
      </c>
      <c r="C78" s="27" t="inlineStr">
        <is>
          <t>Target</t>
        </is>
      </c>
      <c r="D78" s="27" t="n"/>
      <c r="E78" s="27" t="inlineStr">
        <is>
          <t>Not started</t>
        </is>
      </c>
      <c r="F78" s="27" t="n">
        <v>0</v>
      </c>
      <c r="G78" s="27" t="n"/>
      <c r="H78" s="27" t="inlineStr">
        <is>
          <t>Study alongside</t>
        </is>
      </c>
    </row>
    <row r="79">
      <c r="A79" s="26" t="inlineStr">
        <is>
          <t>🎓 Certs</t>
        </is>
      </c>
      <c r="B79" s="3" t="inlineStr">
        <is>
          <t>AWS DevOps Engineer Professional (DOP-C02)</t>
        </is>
      </c>
      <c r="C79" s="26" t="inlineStr">
        <is>
          <t>Target</t>
        </is>
      </c>
      <c r="D79" s="26" t="n"/>
      <c r="E79" s="26" t="inlineStr">
        <is>
          <t>Not started</t>
        </is>
      </c>
      <c r="F79" s="26" t="n">
        <v>0</v>
      </c>
      <c r="G79" s="26" t="n"/>
      <c r="H79" s="26" t="inlineStr">
        <is>
          <t>Study alongside</t>
        </is>
      </c>
    </row>
    <row r="80">
      <c r="A80" s="27" t="inlineStr">
        <is>
          <t>🎓 Certs</t>
        </is>
      </c>
      <c r="B80" s="28" t="inlineStr">
        <is>
          <t>CKA (Certified Kubernetes Administrator)</t>
        </is>
      </c>
      <c r="C80" s="27" t="inlineStr">
        <is>
          <t>Target</t>
        </is>
      </c>
      <c r="D80" s="27" t="n"/>
      <c r="E80" s="27" t="inlineStr">
        <is>
          <t>Not started</t>
        </is>
      </c>
      <c r="F80" s="27" t="n">
        <v>0</v>
      </c>
      <c r="G80" s="27" t="n"/>
      <c r="H80" s="27" t="inlineStr">
        <is>
          <t>After Week 6</t>
        </is>
      </c>
    </row>
    <row r="81">
      <c r="A81" s="67" t="inlineStr">
        <is>
          <t>☸️ Kubernetes</t>
        </is>
      </c>
      <c r="B81" s="68" t="inlineStr">
        <is>
          <t>Karpenter: NodePool, NodeClaim, disruption, consolidation budget</t>
        </is>
      </c>
      <c r="C81" s="67" t="inlineStr">
        <is>
          <t>Advanced</t>
        </is>
      </c>
      <c r="D81" s="67" t="n"/>
      <c r="E81" s="67" t="inlineStr">
        <is>
          <t>Not started</t>
        </is>
      </c>
      <c r="F81" s="67" t="n">
        <v>0</v>
      </c>
      <c r="G81" s="67" t="n"/>
      <c r="H81" s="67" t="n"/>
    </row>
    <row r="82">
      <c r="A82" s="67" t="inlineStr">
        <is>
          <t>🌐 Networking</t>
        </is>
      </c>
      <c r="B82" s="68" t="inlineStr">
        <is>
          <t>eBPF &amp; Cilium: kernel networking, Hubble observability, L7 policies</t>
        </is>
      </c>
      <c r="C82" s="67" t="inlineStr">
        <is>
          <t>Advanced</t>
        </is>
      </c>
      <c r="D82" s="67" t="n"/>
      <c r="E82" s="67" t="inlineStr">
        <is>
          <t>Not started</t>
        </is>
      </c>
      <c r="F82" s="67" t="n">
        <v>0</v>
      </c>
      <c r="G82" s="67" t="n"/>
      <c r="H82" s="67" t="n"/>
    </row>
    <row r="83">
      <c r="A83" s="67" t="inlineStr">
        <is>
          <t>🌐 Networking</t>
        </is>
      </c>
      <c r="B83" s="68" t="inlineStr">
        <is>
          <t>Service Mesh: Istio / Linkerd — mTLS, traffic mgmt, observability</t>
        </is>
      </c>
      <c r="C83" s="67" t="inlineStr">
        <is>
          <t>Intermediate</t>
        </is>
      </c>
      <c r="D83" s="67" t="n"/>
      <c r="E83" s="67" t="inlineStr">
        <is>
          <t>Not started</t>
        </is>
      </c>
      <c r="F83" s="67" t="n">
        <v>0</v>
      </c>
      <c r="G83" s="67" t="n"/>
      <c r="H83" s="67" t="n"/>
    </row>
    <row r="84">
      <c r="A84" s="67" t="inlineStr">
        <is>
          <t>🏗️ Terraform</t>
        </is>
      </c>
      <c r="B84" s="68" t="inlineStr">
        <is>
          <t>Crossplane: XRD, composite resources, AWS provider — IaC alternative</t>
        </is>
      </c>
      <c r="C84" s="67" t="inlineStr">
        <is>
          <t>Intermediate</t>
        </is>
      </c>
      <c r="D84" s="67" t="n"/>
      <c r="E84" s="67" t="inlineStr">
        <is>
          <t>Not started</t>
        </is>
      </c>
      <c r="F84" s="67" t="n">
        <v>0</v>
      </c>
      <c r="G84" s="67" t="n"/>
      <c r="H84" s="67" t="n"/>
    </row>
    <row r="85">
      <c r="A85" s="67" t="inlineStr">
        <is>
          <t>🔐 Security</t>
        </is>
      </c>
      <c r="B85" s="68" t="inlineStr">
        <is>
          <t>Supply chain security: SBOM (Syft), Sigstore/cosign, SLSA framework</t>
        </is>
      </c>
      <c r="C85" s="67" t="inlineStr">
        <is>
          <t>Advanced</t>
        </is>
      </c>
      <c r="D85" s="67" t="n"/>
      <c r="E85" s="67" t="inlineStr">
        <is>
          <t>Not started</t>
        </is>
      </c>
      <c r="F85" s="67" t="n">
        <v>0</v>
      </c>
      <c r="G85" s="67" t="n"/>
      <c r="H85" s="67" t="n"/>
    </row>
    <row r="86">
      <c r="A86" s="67" t="inlineStr">
        <is>
          <t>🔐 Security</t>
        </is>
      </c>
      <c r="B86" s="68" t="inlineStr">
        <is>
          <t>DevSecOps shift-left: dep scanning (Snyk/Dependabot), license compliance</t>
        </is>
      </c>
      <c r="C86" s="67" t="inlineStr">
        <is>
          <t>Advanced</t>
        </is>
      </c>
      <c r="D86" s="67" t="n"/>
      <c r="E86" s="67" t="inlineStr">
        <is>
          <t>Not started</t>
        </is>
      </c>
      <c r="F86" s="67" t="n">
        <v>0</v>
      </c>
      <c r="G86" s="67" t="n"/>
      <c r="H86" s="67" t="n"/>
    </row>
    <row r="87">
      <c r="A87" s="67" t="inlineStr">
        <is>
          <t>🏗️ Platform Eng</t>
        </is>
      </c>
      <c r="B87" s="68" t="inlineStr">
        <is>
          <t>Backstage IDP: software catalog, TechDocs, scaffolder templates</t>
        </is>
      </c>
      <c r="C87" s="67" t="inlineStr">
        <is>
          <t>Intermediate</t>
        </is>
      </c>
      <c r="D87" s="67" t="n"/>
      <c r="E87" s="67" t="inlineStr">
        <is>
          <t>Not started</t>
        </is>
      </c>
      <c r="F87" s="67" t="n">
        <v>0</v>
      </c>
      <c r="G87" s="67" t="n"/>
      <c r="H87" s="67" t="n"/>
    </row>
    <row r="88">
      <c r="A88" s="67" t="inlineStr">
        <is>
          <t>🏗️ Platform Eng</t>
        </is>
      </c>
      <c r="B88" s="68" t="inlineStr">
        <is>
          <t>Internal Developer Platform (IDP) design: golden paths, self-service</t>
        </is>
      </c>
      <c r="C88" s="67" t="inlineStr">
        <is>
          <t>Intermediate</t>
        </is>
      </c>
      <c r="D88" s="67" t="n"/>
      <c r="E88" s="67" t="inlineStr">
        <is>
          <t>Not started</t>
        </is>
      </c>
      <c r="F88" s="67" t="n">
        <v>0</v>
      </c>
      <c r="G88" s="67" t="n"/>
      <c r="H88" s="67" t="n"/>
    </row>
    <row r="89">
      <c r="A89" s="67" t="inlineStr">
        <is>
          <t>📊 Observability</t>
        </is>
      </c>
      <c r="B89" s="68" t="inlineStr">
        <is>
          <t>OpenTelemetry: collector config, SDK instrumentation, OTLP export</t>
        </is>
      </c>
      <c r="C89" s="67" t="inlineStr">
        <is>
          <t>Advanced</t>
        </is>
      </c>
      <c r="D89" s="67" t="n"/>
      <c r="E89" s="67" t="inlineStr">
        <is>
          <t>Not started</t>
        </is>
      </c>
      <c r="F89" s="67" t="n">
        <v>0</v>
      </c>
      <c r="G89" s="67" t="n"/>
      <c r="H89" s="67" t="n"/>
    </row>
    <row r="90">
      <c r="A90" s="67" t="inlineStr">
        <is>
          <t>🤖 AI DevOps</t>
        </is>
      </c>
      <c r="B90" s="68" t="inlineStr">
        <is>
          <t>GitHub Copilot / Amazon Q Developer: AI-assisted IaC &amp; pipeline gen</t>
        </is>
      </c>
      <c r="C90" s="67" t="inlineStr">
        <is>
          <t>Intermediate</t>
        </is>
      </c>
      <c r="D90" s="67" t="n"/>
      <c r="E90" s="67" t="inlineStr">
        <is>
          <t>Not started</t>
        </is>
      </c>
      <c r="F90" s="67" t="n">
        <v>0</v>
      </c>
      <c r="G90" s="67" t="n"/>
      <c r="H90" s="67" t="n"/>
    </row>
    <row r="91">
      <c r="A91" s="67" t="inlineStr">
        <is>
          <t>🤖 AI DevOps</t>
        </is>
      </c>
      <c r="B91" s="68" t="inlineStr">
        <is>
          <t>AI in pipelines: code review bots, anomaly detection, auto-remediation</t>
        </is>
      </c>
      <c r="C91" s="67" t="inlineStr">
        <is>
          <t>Intermediate</t>
        </is>
      </c>
      <c r="D91" s="67" t="n"/>
      <c r="E91" s="67" t="inlineStr">
        <is>
          <t>Not started</t>
        </is>
      </c>
      <c r="F91" s="67" t="n">
        <v>0</v>
      </c>
      <c r="G91" s="67" t="n"/>
      <c r="H91" s="67" t="n"/>
    </row>
    <row r="92">
      <c r="A92" s="67" t="inlineStr">
        <is>
          <t>☁️ Multi-cloud</t>
        </is>
      </c>
      <c r="B92" s="68" t="inlineStr">
        <is>
          <t>Azure AKS + GCP GKE: awareness of managed K8s differences</t>
        </is>
      </c>
      <c r="C92" s="67" t="inlineStr">
        <is>
          <t>Intermediate</t>
        </is>
      </c>
      <c r="D92" s="67" t="n"/>
      <c r="E92" s="67" t="inlineStr">
        <is>
          <t>Not started</t>
        </is>
      </c>
      <c r="F92" s="67" t="n">
        <v>0</v>
      </c>
      <c r="G92" s="67" t="n"/>
      <c r="H92" s="67" t="n"/>
    </row>
    <row r="93">
      <c r="A93" s="67" t="inlineStr">
        <is>
          <t>🎓 Certs</t>
        </is>
      </c>
      <c r="B93" s="68" t="inlineStr">
        <is>
          <t>CKAD (Certified Kubernetes Application Developer)</t>
        </is>
      </c>
      <c r="C93" s="67" t="inlineStr">
        <is>
          <t>Target</t>
        </is>
      </c>
      <c r="D93" s="67" t="n"/>
      <c r="E93" s="67" t="inlineStr">
        <is>
          <t>Not started</t>
        </is>
      </c>
      <c r="F93" s="67" t="n">
        <v>0</v>
      </c>
      <c r="G93" s="67" t="n"/>
      <c r="H93" s="67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94560"/>
    <outlinePr summaryBelow="1" summaryRight="1"/>
    <pageSetUpPr/>
  </sheetPr>
  <dimension ref="A1:M10"/>
  <sheetViews>
    <sheetView workbookViewId="0">
      <selection activeCell="A1" sqref="A1:J1"/>
    </sheetView>
  </sheetViews>
  <sheetFormatPr baseColWidth="8" defaultRowHeight="15"/>
  <cols>
    <col width="4" customWidth="1" style="52" min="1" max="1"/>
    <col width="26" customWidth="1" style="52" min="2" max="2"/>
    <col width="44" customWidth="1" style="52" min="3" max="3"/>
    <col width="36" customWidth="1" style="52" min="4" max="4"/>
    <col width="44" customWidth="1" style="52" min="5" max="5"/>
    <col width="12" customWidth="1" style="52" min="6" max="9"/>
    <col width="8" customWidth="1" style="52" min="10" max="10"/>
    <col width="28" customWidth="1" style="52" min="11" max="11"/>
    <col width="24" customWidth="1" style="52" min="12" max="12"/>
    <col width="28" customWidth="1" style="52" min="13" max="13"/>
  </cols>
  <sheetData>
    <row r="1" ht="32.1" customHeight="1" s="52">
      <c r="A1" s="66" t="inlineStr">
        <is>
          <t>🛠️  PORTFOLIO PROJECTS  —  Build Real Production-Grade Systems (Push All to GitHub)</t>
        </is>
      </c>
    </row>
    <row r="2">
      <c r="A2" s="1" t="inlineStr">
        <is>
          <t>#</t>
        </is>
      </c>
      <c r="B2" s="1" t="inlineStr">
        <is>
          <t>Project Name</t>
        </is>
      </c>
      <c r="C2" s="1" t="inlineStr">
        <is>
          <t>Real-World Goal</t>
        </is>
      </c>
      <c r="D2" s="1" t="inlineStr">
        <is>
          <t>Tech Stack</t>
        </is>
      </c>
      <c r="E2" s="1" t="inlineStr">
        <is>
          <t>Key Deliverables</t>
        </is>
      </c>
      <c r="F2" s="1" t="inlineStr">
        <is>
          <t>Target Week</t>
        </is>
      </c>
      <c r="G2" s="1" t="inlineStr">
        <is>
          <t>Start Date</t>
        </is>
      </c>
      <c r="H2" s="1" t="inlineStr">
        <is>
          <t>End Date</t>
        </is>
      </c>
      <c r="I2" s="1" t="inlineStr">
        <is>
          <t>Status</t>
        </is>
      </c>
      <c r="J2" s="1" t="inlineStr">
        <is>
          <t>% Done</t>
        </is>
      </c>
      <c r="K2" s="1" t="inlineStr">
        <is>
          <t>GitHub Link</t>
        </is>
      </c>
      <c r="L2" s="1" t="inlineStr">
        <is>
          <t>Architecture Diagram</t>
        </is>
      </c>
      <c r="M2" s="1" t="inlineStr">
        <is>
          <t>Notes</t>
        </is>
      </c>
    </row>
    <row r="3" ht="60" customHeight="1" s="52">
      <c r="A3" s="3" t="n">
        <v>1</v>
      </c>
      <c r="B3" s="3" t="inlineStr">
        <is>
          <t>Automated Infra Provisioner</t>
        </is>
      </c>
      <c r="C3" s="3" t="inlineStr">
        <is>
          <t>Provision full AWS stack (VPC+EC2+RDS+ALB+ASG) with Terraform modules + remote state; mimic a real cloud team's IaC repo</t>
        </is>
      </c>
      <c r="D3" s="3" t="inlineStr">
        <is>
          <t>Terraform, AWS (VPC/EC2/RDS/ALB/ASG/S3/DynamoDB), Atlantis</t>
        </is>
      </c>
      <c r="E3" s="3" t="inlineStr">
        <is>
          <t>Reusable Terraform modules; remote state; Atlantis PR workflow; multi-env (dev/stg/prd); README + architecture diagram</t>
        </is>
      </c>
      <c r="F3" s="3" t="inlineStr">
        <is>
          <t>Week 7</t>
        </is>
      </c>
      <c r="G3" s="3" t="inlineStr">
        <is>
          <t>2026-05-01</t>
        </is>
      </c>
      <c r="H3" s="3" t="inlineStr">
        <is>
          <t>2026-05-14</t>
        </is>
      </c>
      <c r="I3" s="3" t="inlineStr">
        <is>
          <t>Not started</t>
        </is>
      </c>
      <c r="J3" s="3" t="n">
        <v>0</v>
      </c>
      <c r="K3" s="3" t="n"/>
      <c r="L3" s="3" t="n"/>
      <c r="M3" s="3" t="inlineStr">
        <is>
          <t>First major portfolio project</t>
        </is>
      </c>
    </row>
    <row r="4" ht="60" customHeight="1" s="52">
      <c r="A4" s="28" t="n">
        <v>2</v>
      </c>
      <c r="B4" s="28" t="inlineStr">
        <is>
          <t>Full CI/CD Platform with GitOps</t>
        </is>
      </c>
      <c r="C4" s="28" t="inlineStr">
        <is>
          <t>End-to-end pipeline: code push → lint/test → SonarQube → Docker multi-stage → ECR → ArgoCD deploy to EKS (canary via Argo Rollouts)</t>
        </is>
      </c>
      <c r="D4" s="28" t="inlineStr">
        <is>
          <t>GitHub Actions (OIDC), SonarQube, Docker, ECR, ArgoCD, Argo Rollouts, Helm, EKS</t>
        </is>
      </c>
      <c r="E4" s="28" t="inlineStr">
        <is>
          <t>OIDC no-long-key pipeline; quality gate blocking; Helm chart; canary with analysis; auto rollback; GitOps promotion dev→stg→prd</t>
        </is>
      </c>
      <c r="F4" s="28" t="inlineStr">
        <is>
          <t>Week 13</t>
        </is>
      </c>
      <c r="G4" s="28" t="inlineStr">
        <is>
          <t>2026-06-12</t>
        </is>
      </c>
      <c r="H4" s="28" t="inlineStr">
        <is>
          <t>2026-06-25</t>
        </is>
      </c>
      <c r="I4" s="28" t="inlineStr">
        <is>
          <t>Not started</t>
        </is>
      </c>
      <c r="J4" s="28" t="n">
        <v>0</v>
      </c>
      <c r="K4" s="28" t="n"/>
      <c r="L4" s="28" t="n"/>
      <c r="M4" s="28" t="inlineStr">
        <is>
          <t>Crown jewel project for resume</t>
        </is>
      </c>
    </row>
    <row r="5" ht="60" customHeight="1" s="52">
      <c r="A5" s="3" t="n">
        <v>3</v>
      </c>
      <c r="B5" s="3" t="inlineStr">
        <is>
          <t>Production EKS Platform</t>
        </is>
      </c>
      <c r="C5" s="3" t="inlineStr">
        <is>
          <t>Production-like EKS cluster: IRSA, Cluster Autoscaler, AWS LB Controller, ExternalDNS, Prometheus+Grafana, Falco, Sealed Secrets</t>
        </is>
      </c>
      <c r="D5" s="3" t="inlineStr">
        <is>
          <t>Terraform, EKS, IRSA, kube-prometheus-stack, Falco, ExternalDNS, AWS LB Controller, Sealed Secrets</t>
        </is>
      </c>
      <c r="E5" s="3" t="inlineStr">
        <is>
          <t>Terraform-provisioned EKS; IRSA for all pods; HPA + CA; Grafana dashboards; Falco alerts; TLS via cert-manager; SLO defined</t>
        </is>
      </c>
      <c r="F5" s="3" t="inlineStr">
        <is>
          <t>Week 9-11</t>
        </is>
      </c>
      <c r="G5" s="3" t="inlineStr">
        <is>
          <t>2026-05-15</t>
        </is>
      </c>
      <c r="H5" s="3" t="inlineStr">
        <is>
          <t>2026-06-04</t>
        </is>
      </c>
      <c r="I5" s="3" t="inlineStr">
        <is>
          <t>Not started</t>
        </is>
      </c>
      <c r="J5" s="3" t="n">
        <v>0</v>
      </c>
      <c r="K5" s="3" t="n"/>
      <c r="L5" s="3" t="n"/>
      <c r="M5" s="3" t="inlineStr">
        <is>
          <t>Demonstrates real EKS ops experience</t>
        </is>
      </c>
    </row>
    <row r="6" ht="60" customHeight="1" s="52">
      <c r="A6" s="28" t="n">
        <v>4</v>
      </c>
      <c r="B6" s="28" t="inlineStr">
        <is>
          <t>Event-Driven Microservices on AWS</t>
        </is>
      </c>
      <c r="C6" s="28" t="inlineStr">
        <is>
          <t>Build a serverless + container hybrid event-driven system: API GW → Lambda → SQS → ECS/Lambda → DynamoDB; CloudWatch + X-Ray</t>
        </is>
      </c>
      <c r="D6" s="28" t="inlineStr">
        <is>
          <t>API Gateway, Lambda, SQS, SNS, DynamoDB, ECS/Fargate, CloudWatch, X-Ray, Terraform</t>
        </is>
      </c>
      <c r="E6" s="28" t="inlineStr">
        <is>
          <t>REST API; async processing via SQS; DLQ; X-Ray tracing end-to-end; CloudWatch dashboard + alarms; Terraform provisioned</t>
        </is>
      </c>
      <c r="F6" s="28" t="inlineStr">
        <is>
          <t>Week 10</t>
        </is>
      </c>
      <c r="G6" s="28" t="inlineStr">
        <is>
          <t>2026-05-22</t>
        </is>
      </c>
      <c r="H6" s="28" t="inlineStr">
        <is>
          <t>2026-05-31</t>
        </is>
      </c>
      <c r="I6" s="28" t="inlineStr">
        <is>
          <t>Not started</t>
        </is>
      </c>
      <c r="J6" s="28" t="n">
        <v>0</v>
      </c>
      <c r="K6" s="28" t="n"/>
      <c r="L6" s="28" t="n"/>
      <c r="M6" s="28" t="inlineStr">
        <is>
          <t>Shows serverless + event-driven skills</t>
        </is>
      </c>
    </row>
    <row r="7" ht="60" customHeight="1" s="52">
      <c r="A7" s="3" t="n">
        <v>5</v>
      </c>
      <c r="B7" s="3" t="inlineStr">
        <is>
          <t>Security Hardening Baseline</t>
        </is>
      </c>
      <c r="C7" s="3" t="inlineStr">
        <is>
          <t>Apply AWS + K8s security baseline: GuardDuty + Security Hub + WAF + KMS + Falco + SAST in pipeline + IAM Access Analyzer</t>
        </is>
      </c>
      <c r="D7" s="3" t="inlineStr">
        <is>
          <t>AWS GuardDuty, Security Hub, WAF, KMS, Falco, SonarQube, IAM Access Analyzer, Config</t>
        </is>
      </c>
      <c r="E7" s="3" t="inlineStr">
        <is>
          <t>Enable all security services; WAF OWASP rules; KMS-encrypt RDS+S3; Falco ruleset; SAST in CI; remediate Access Analyzer findings</t>
        </is>
      </c>
      <c r="F7" s="3" t="inlineStr">
        <is>
          <t>Week 12</t>
        </is>
      </c>
      <c r="G7" s="3" t="inlineStr">
        <is>
          <t>2026-06-05</t>
        </is>
      </c>
      <c r="H7" s="3" t="inlineStr">
        <is>
          <t>2026-06-11</t>
        </is>
      </c>
      <c r="I7" s="3" t="inlineStr">
        <is>
          <t>Not started</t>
        </is>
      </c>
      <c r="J7" s="3" t="n">
        <v>0</v>
      </c>
      <c r="K7" s="3" t="n"/>
      <c r="L7" s="3" t="n"/>
      <c r="M7" s="3" t="inlineStr">
        <is>
          <t>Security-focused project; good for fintech/banking JDs</t>
        </is>
      </c>
    </row>
    <row r="8" ht="60" customHeight="1" s="52">
      <c r="A8" s="28" t="n">
        <v>6</v>
      </c>
      <c r="B8" s="28" t="inlineStr">
        <is>
          <t>Multi-Account AWS Landing Zone</t>
        </is>
      </c>
      <c r="C8" s="28" t="inlineStr">
        <is>
          <t>Set up AWS Organizations with 3 accounts (management/log-archive/workload); SCPs; Config rules; centralised logging; Budget alerts</t>
        </is>
      </c>
      <c r="D8" s="28" t="inlineStr">
        <is>
          <t>AWS Organizations, Control Tower (manual), SCPs, Config, CloudTrail, S3, Budget, Terraform</t>
        </is>
      </c>
      <c r="E8" s="28" t="inlineStr">
        <is>
          <t>Org structure; SCP restrict non-approved regions; mandatory tagging Config rule; cross-account CloudTrail to S3; Budget alarms</t>
        </is>
      </c>
      <c r="F8" s="28" t="inlineStr">
        <is>
          <t>Week 14</t>
        </is>
      </c>
      <c r="G8" s="28" t="inlineStr">
        <is>
          <t>2026-06-19</t>
        </is>
      </c>
      <c r="H8" s="28" t="inlineStr">
        <is>
          <t>2026-06-25</t>
        </is>
      </c>
      <c r="I8" s="28" t="inlineStr">
        <is>
          <t>Not started</t>
        </is>
      </c>
      <c r="J8" s="28" t="n">
        <v>0</v>
      </c>
      <c r="K8" s="28" t="n"/>
      <c r="L8" s="28" t="n"/>
      <c r="M8" s="28" t="inlineStr">
        <is>
          <t>Shows enterprise-level AWS understanding</t>
        </is>
      </c>
    </row>
    <row r="9" ht="60" customHeight="1" s="52">
      <c r="A9" s="3" t="n">
        <v>7</v>
      </c>
      <c r="B9" s="3" t="inlineStr">
        <is>
          <t>Observability Stack from Scratch</t>
        </is>
      </c>
      <c r="C9" s="3" t="inlineStr">
        <is>
          <t>Deploy Prometheus + Grafana + Loki + Tempo on EKS; custom metrics from app; SLO-based alerting; incident runbook</t>
        </is>
      </c>
      <c r="D9" s="3" t="inlineStr">
        <is>
          <t>Prometheus, Grafana, Loki, Tempo, OpenTelemetry, kube-prometheus-stack, PagerDuty webhook</t>
        </is>
      </c>
      <c r="E9" s="3" t="inlineStr">
        <is>
          <t>kube-prometheus-stack helm; custom app metrics; Grafana dashboard; alert rules; Loki for logs; Tempo for traces; SLO runbook</t>
        </is>
      </c>
      <c r="F9" s="3" t="inlineStr">
        <is>
          <t>Week 11</t>
        </is>
      </c>
      <c r="G9" s="3" t="inlineStr">
        <is>
          <t>2026-05-29</t>
        </is>
      </c>
      <c r="H9" s="3" t="inlineStr">
        <is>
          <t>2026-06-07</t>
        </is>
      </c>
      <c r="I9" s="3" t="inlineStr">
        <is>
          <t>Not started</t>
        </is>
      </c>
      <c r="J9" s="3" t="n">
        <v>0</v>
      </c>
      <c r="K9" s="3" t="n"/>
      <c r="L9" s="3" t="n"/>
      <c r="M9" s="3" t="inlineStr">
        <is>
          <t>Demonstrates SRE mindset</t>
        </is>
      </c>
    </row>
    <row r="10">
      <c r="A10" s="3" t="n">
        <v>8</v>
      </c>
      <c r="B10" s="3" t="inlineStr">
        <is>
          <t>Platform Engineering IDP (Backstage)</t>
        </is>
      </c>
      <c r="C10" s="3" t="inlineStr">
        <is>
          <t>Build an Internal Developer Platform with Backstage: software catalog for all microservices, scaffolder template for new services (pre-wired CI/CD + Terraform), TechDocs for runbooks</t>
        </is>
      </c>
      <c r="D10" s="3" t="inlineStr">
        <is>
          <t>Backstage, Node.js, PostgreSQL, GitHub Actions, Terraform, AWS (ECS/EKS), Docker, GitHub OAuth</t>
        </is>
      </c>
      <c r="E10" s="3" t="inlineStr">
        <is>
          <t>Running Backstage on ECS; software catalog with 5+ components; scaffolder: new-service template creates repo+pipeline+infra; TechDocs for 3 runbooks; RBAC via GitHub teams</t>
        </is>
      </c>
      <c r="F10" s="3" t="inlineStr">
        <is>
          <t>Week 13-14</t>
        </is>
      </c>
      <c r="G10" s="3" t="inlineStr">
        <is>
          <t>2026-06-12</t>
        </is>
      </c>
      <c r="H10" s="3" t="inlineStr">
        <is>
          <t>2026-06-25</t>
        </is>
      </c>
      <c r="I10" s="3" t="inlineStr">
        <is>
          <t>Not started</t>
        </is>
      </c>
      <c r="J10" s="3" t="n">
        <v>0</v>
      </c>
      <c r="K10" s="3" t="n"/>
      <c r="L10" s="3" t="n"/>
      <c r="M10" s="3" t="inlineStr">
        <is>
          <t>Differentiator: very few candidates build an IDP — instant stand-out for platform/DevOps lead roles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B59B6"/>
    <outlinePr summaryBelow="1" summaryRight="1"/>
    <pageSetUpPr/>
  </sheetPr>
  <dimension ref="A1:G49"/>
  <sheetViews>
    <sheetView workbookViewId="0">
      <pane ySplit="2" topLeftCell="A34" activePane="bottomLeft" state="frozen"/>
      <selection pane="bottomLeft" activeCell="B3" sqref="B3"/>
    </sheetView>
  </sheetViews>
  <sheetFormatPr baseColWidth="8" defaultRowHeight="15"/>
  <cols>
    <col width="16" customWidth="1" style="52" min="1" max="1"/>
    <col width="50" customWidth="1" style="52" min="2" max="2"/>
    <col width="52" customWidth="1" style="52" min="3" max="3"/>
    <col width="10" customWidth="1" style="52" min="4" max="4"/>
    <col width="11" customWidth="1" style="52" min="5" max="5"/>
    <col width="14" customWidth="1" style="52" min="6" max="6"/>
    <col width="16" customWidth="1" style="52" min="7" max="7"/>
  </cols>
  <sheetData>
    <row r="1" ht="32.1" customHeight="1" s="52">
      <c r="A1" s="66" t="inlineStr">
        <is>
          <t>❓  AWS DEVOPS ENGINEER INTERVIEW Q BANK (3+ YoE)  —  Mark each question as Practiced / Confident</t>
        </is>
      </c>
    </row>
    <row r="2">
      <c r="A2" s="1" t="inlineStr">
        <is>
          <t>Domain</t>
        </is>
      </c>
      <c r="B2" s="1" t="inlineStr">
        <is>
          <t>Question (Senior Level)</t>
        </is>
      </c>
      <c r="C2" s="1" t="inlineStr">
        <is>
          <t>Key Answer Points</t>
        </is>
      </c>
      <c r="D2" s="1" t="inlineStr">
        <is>
          <t>Difficulty</t>
        </is>
      </c>
      <c r="E2" s="1" t="inlineStr">
        <is>
          <t>Practiced?</t>
        </is>
      </c>
      <c r="F2" s="1" t="inlineStr">
        <is>
          <t>Confidence (1-5)</t>
        </is>
      </c>
      <c r="G2" s="1" t="inlineStr">
        <is>
          <t>STAR Story Needed?</t>
        </is>
      </c>
    </row>
    <row r="3" ht="48" customHeight="1" s="52">
      <c r="A3" s="29" t="inlineStr">
        <is>
          <t>Linux</t>
        </is>
      </c>
      <c r="B3" s="3" t="inlineStr">
        <is>
          <t>Explain cgroups and namespaces. How does Docker use them?</t>
        </is>
      </c>
      <c r="C3" s="3" t="inlineStr">
        <is>
          <t>cgroups: resource limits; namespaces: pid/net/mnt isolation; Docker wraps both</t>
        </is>
      </c>
      <c r="D3" s="29" t="inlineStr">
        <is>
          <t>Hard</t>
        </is>
      </c>
      <c r="E3" s="29" t="inlineStr">
        <is>
          <t>☐</t>
        </is>
      </c>
      <c r="F3" s="29" t="n">
        <v>0</v>
      </c>
      <c r="G3" s="29" t="inlineStr">
        <is>
          <t>No</t>
        </is>
      </c>
    </row>
    <row r="4" ht="48" customHeight="1" s="52">
      <c r="A4" s="30" t="inlineStr">
        <is>
          <t>Linux</t>
        </is>
      </c>
      <c r="B4" s="28" t="inlineStr">
        <is>
          <t>How would you troubleshoot a process using 100% CPU?</t>
        </is>
      </c>
      <c r="C4" s="28" t="inlineStr">
        <is>
          <t>top/htop; strace/perf; profiling; check systemd journal</t>
        </is>
      </c>
      <c r="D4" s="30" t="inlineStr">
        <is>
          <t>Medium</t>
        </is>
      </c>
      <c r="E4" s="30" t="inlineStr">
        <is>
          <t>☐</t>
        </is>
      </c>
      <c r="F4" s="30" t="n">
        <v>0</v>
      </c>
      <c r="G4" s="30" t="inlineStr">
        <is>
          <t>No</t>
        </is>
      </c>
    </row>
    <row r="5" ht="48" customHeight="1" s="52">
      <c r="A5" s="29" t="inlineStr">
        <is>
          <t>Linux</t>
        </is>
      </c>
      <c r="B5" s="3" t="inlineStr">
        <is>
          <t>Explain how iptables chains and rules work.</t>
        </is>
      </c>
      <c r="C5" s="3" t="inlineStr">
        <is>
          <t>INPUT/OUTPUT/FORWARD chains; ACCEPT/DROP/REJECT; NAT table</t>
        </is>
      </c>
      <c r="D5" s="29" t="inlineStr">
        <is>
          <t>Hard</t>
        </is>
      </c>
      <c r="E5" s="29" t="inlineStr">
        <is>
          <t>☐</t>
        </is>
      </c>
      <c r="F5" s="29" t="n">
        <v>0</v>
      </c>
      <c r="G5" s="29" t="inlineStr">
        <is>
          <t>No</t>
        </is>
      </c>
    </row>
    <row r="6" ht="48" customHeight="1" s="52">
      <c r="A6" s="30" t="inlineStr">
        <is>
          <t>Linux</t>
        </is>
      </c>
      <c r="B6" s="28" t="inlineStr">
        <is>
          <t>What is a zombie process? How do you clean it up?</t>
        </is>
      </c>
      <c r="C6" s="28" t="inlineStr">
        <is>
          <t>Exited but parent not reaped; kill parent or wait(); systemd handles it</t>
        </is>
      </c>
      <c r="D6" s="30" t="inlineStr">
        <is>
          <t>Medium</t>
        </is>
      </c>
      <c r="E6" s="30" t="inlineStr">
        <is>
          <t>☐</t>
        </is>
      </c>
      <c r="F6" s="30" t="n">
        <v>0</v>
      </c>
      <c r="G6" s="30" t="inlineStr">
        <is>
          <t>No</t>
        </is>
      </c>
    </row>
    <row r="7" ht="48" customHeight="1" s="52">
      <c r="A7" s="30" t="inlineStr">
        <is>
          <t>Git</t>
        </is>
      </c>
      <c r="B7" s="3" t="inlineStr">
        <is>
          <t>Explain git rebase vs merge. When would you use each?</t>
        </is>
      </c>
      <c r="C7" s="3" t="inlineStr">
        <is>
          <t>rebase: linear history, no merge commit; merge: preserves history; rebase for feature branches</t>
        </is>
      </c>
      <c r="D7" s="30" t="inlineStr">
        <is>
          <t>Medium</t>
        </is>
      </c>
      <c r="E7" s="30" t="inlineStr">
        <is>
          <t>☐</t>
        </is>
      </c>
      <c r="F7" s="30" t="n">
        <v>0</v>
      </c>
      <c r="G7" s="30" t="inlineStr">
        <is>
          <t>No</t>
        </is>
      </c>
    </row>
    <row r="8" ht="48" customHeight="1" s="52">
      <c r="A8" s="30" t="inlineStr">
        <is>
          <t>Git</t>
        </is>
      </c>
      <c r="B8" s="28" t="inlineStr">
        <is>
          <t>How would you recover a deleted branch in Git?</t>
        </is>
      </c>
      <c r="C8" s="28" t="inlineStr">
        <is>
          <t>git reflog; git checkout -b &lt;branch&gt; &lt;SHA&gt;; within 30-90 days</t>
        </is>
      </c>
      <c r="D8" s="30" t="inlineStr">
        <is>
          <t>Medium</t>
        </is>
      </c>
      <c r="E8" s="30" t="inlineStr">
        <is>
          <t>☐</t>
        </is>
      </c>
      <c r="F8" s="30" t="n">
        <v>0</v>
      </c>
      <c r="G8" s="30" t="inlineStr">
        <is>
          <t>No</t>
        </is>
      </c>
    </row>
    <row r="9" ht="48" customHeight="1" s="52">
      <c r="A9" s="29" t="inlineStr">
        <is>
          <t>CI/CD</t>
        </is>
      </c>
      <c r="B9" s="3" t="inlineStr">
        <is>
          <t>Design a CI/CD pipeline for a microservices team with 50 developers.</t>
        </is>
      </c>
      <c r="C9" s="3" t="inlineStr">
        <is>
          <t>Mono-repo vs poly; shared Jenkins library; OIDC; quality gates; parallel stages; env promotion</t>
        </is>
      </c>
      <c r="D9" s="29" t="inlineStr">
        <is>
          <t>Hard</t>
        </is>
      </c>
      <c r="E9" s="29" t="inlineStr">
        <is>
          <t>☐</t>
        </is>
      </c>
      <c r="F9" s="29" t="n">
        <v>0</v>
      </c>
      <c r="G9" s="29" t="inlineStr">
        <is>
          <t>Yes</t>
        </is>
      </c>
    </row>
    <row r="10" ht="48" customHeight="1" s="52">
      <c r="A10" s="29" t="inlineStr">
        <is>
          <t>CI/CD</t>
        </is>
      </c>
      <c r="B10" s="28" t="inlineStr">
        <is>
          <t>How do you manage secrets in CI/CD pipelines?</t>
        </is>
      </c>
      <c r="C10" s="28" t="inlineStr">
        <is>
          <t>OIDC (no static keys); Secrets Manager; Vault; never in git; mask in logs</t>
        </is>
      </c>
      <c r="D10" s="29" t="inlineStr">
        <is>
          <t>Hard</t>
        </is>
      </c>
      <c r="E10" s="29" t="inlineStr">
        <is>
          <t>☐</t>
        </is>
      </c>
      <c r="F10" s="29" t="n">
        <v>0</v>
      </c>
      <c r="G10" s="29" t="inlineStr">
        <is>
          <t>Yes</t>
        </is>
      </c>
    </row>
    <row r="11" ht="48" customHeight="1" s="52">
      <c r="A11" s="29" t="inlineStr">
        <is>
          <t>CI/CD</t>
        </is>
      </c>
      <c r="B11" s="3" t="inlineStr">
        <is>
          <t>Explain OIDC authentication for GitHub Actions to AWS.</t>
        </is>
      </c>
      <c r="C11" s="3" t="inlineStr">
        <is>
          <t>GitHub OIDC provider; assume-role policy; STS; no long-lived keys</t>
        </is>
      </c>
      <c r="D11" s="29" t="inlineStr">
        <is>
          <t>Hard</t>
        </is>
      </c>
      <c r="E11" s="29" t="inlineStr">
        <is>
          <t>☐</t>
        </is>
      </c>
      <c r="F11" s="29" t="n">
        <v>0</v>
      </c>
      <c r="G11" s="29" t="inlineStr">
        <is>
          <t>No</t>
        </is>
      </c>
    </row>
    <row r="12" ht="48" customHeight="1" s="52">
      <c r="A12" s="30" t="inlineStr">
        <is>
          <t>Docker</t>
        </is>
      </c>
      <c r="B12" s="28" t="inlineStr">
        <is>
          <t>How do you minimise Docker image size?</t>
        </is>
      </c>
      <c r="C12" s="28" t="inlineStr">
        <is>
          <t>Multi-stage builds; distroless/alpine base; .dockerignore; rm apt cache; one RUN chain</t>
        </is>
      </c>
      <c r="D12" s="30" t="inlineStr">
        <is>
          <t>Medium</t>
        </is>
      </c>
      <c r="E12" s="30" t="inlineStr">
        <is>
          <t>☐</t>
        </is>
      </c>
      <c r="F12" s="30" t="n">
        <v>0</v>
      </c>
      <c r="G12" s="30" t="inlineStr">
        <is>
          <t>No</t>
        </is>
      </c>
    </row>
    <row r="13" ht="48" customHeight="1" s="52">
      <c r="A13" s="29" t="inlineStr">
        <is>
          <t>Docker</t>
        </is>
      </c>
      <c r="B13" s="3" t="inlineStr">
        <is>
          <t>What security risks exist in containers and how do you mitigate?</t>
        </is>
      </c>
      <c r="C13" s="3" t="inlineStr">
        <is>
          <t>root by default; cap escalation; image vulns; use non-root, seccomp, Trivy, PSS</t>
        </is>
      </c>
      <c r="D13" s="29" t="inlineStr">
        <is>
          <t>Hard</t>
        </is>
      </c>
      <c r="E13" s="29" t="inlineStr">
        <is>
          <t>☐</t>
        </is>
      </c>
      <c r="F13" s="29" t="n">
        <v>0</v>
      </c>
      <c r="G13" s="29" t="inlineStr">
        <is>
          <t>No</t>
        </is>
      </c>
    </row>
    <row r="14" ht="48" customHeight="1" s="52">
      <c r="A14" s="29" t="inlineStr">
        <is>
          <t>Kubernetes</t>
        </is>
      </c>
      <c r="B14" s="28" t="inlineStr">
        <is>
          <t>Explain the Kubernetes control plane components.</t>
        </is>
      </c>
      <c r="C14" s="28" t="inlineStr">
        <is>
          <t>API server; etcd (source of truth); scheduler; controller-manager; cloud-controller</t>
        </is>
      </c>
      <c r="D14" s="29" t="inlineStr">
        <is>
          <t>Hard</t>
        </is>
      </c>
      <c r="E14" s="29" t="inlineStr">
        <is>
          <t>☐</t>
        </is>
      </c>
      <c r="F14" s="29" t="n">
        <v>0</v>
      </c>
      <c r="G14" s="29" t="inlineStr">
        <is>
          <t>No</t>
        </is>
      </c>
    </row>
    <row r="15" ht="48" customHeight="1" s="52">
      <c r="A15" s="29" t="inlineStr">
        <is>
          <t>Kubernetes</t>
        </is>
      </c>
      <c r="B15" s="3" t="inlineStr">
        <is>
          <t>Pod is stuck in Pending. How do you debug it?</t>
        </is>
      </c>
      <c r="C15" s="3" t="inlineStr">
        <is>
          <t>kubectl describe pod; check events; node resources; taint/toleration; PVC unbound</t>
        </is>
      </c>
      <c r="D15" s="29" t="inlineStr">
        <is>
          <t>Hard</t>
        </is>
      </c>
      <c r="E15" s="29" t="inlineStr">
        <is>
          <t>☐</t>
        </is>
      </c>
      <c r="F15" s="29" t="n">
        <v>0</v>
      </c>
      <c r="G15" s="29" t="inlineStr">
        <is>
          <t>Yes</t>
        </is>
      </c>
    </row>
    <row r="16" ht="48" customHeight="1" s="52">
      <c r="A16" s="29" t="inlineStr">
        <is>
          <t>Kubernetes</t>
        </is>
      </c>
      <c r="B16" s="28" t="inlineStr">
        <is>
          <t>Explain RBAC in Kubernetes. How do you implement least privilege?</t>
        </is>
      </c>
      <c r="C16" s="28" t="inlineStr">
        <is>
          <t>Role/ClusterRole → RoleBinding/CRB → SA; audit logs; namespace isolation</t>
        </is>
      </c>
      <c r="D16" s="29" t="inlineStr">
        <is>
          <t>Hard</t>
        </is>
      </c>
      <c r="E16" s="29" t="inlineStr">
        <is>
          <t>☐</t>
        </is>
      </c>
      <c r="F16" s="29" t="n">
        <v>0</v>
      </c>
      <c r="G16" s="29" t="inlineStr">
        <is>
          <t>No</t>
        </is>
      </c>
    </row>
    <row r="17" ht="48" customHeight="1" s="52">
      <c r="A17" s="29" t="inlineStr">
        <is>
          <t>Kubernetes</t>
        </is>
      </c>
      <c r="B17" s="3" t="inlineStr">
        <is>
          <t>How does HPA work? What are its limitations?</t>
        </is>
      </c>
      <c r="C17" s="3" t="inlineStr">
        <is>
          <t>metrics-server; CPU/memory; custom via KEDA; limitations: doesn't scale to 0 natively</t>
        </is>
      </c>
      <c r="D17" s="29" t="inlineStr">
        <is>
          <t>Hard</t>
        </is>
      </c>
      <c r="E17" s="29" t="inlineStr">
        <is>
          <t>☐</t>
        </is>
      </c>
      <c r="F17" s="29" t="n">
        <v>0</v>
      </c>
      <c r="G17" s="29" t="inlineStr">
        <is>
          <t>No</t>
        </is>
      </c>
    </row>
    <row r="18" ht="48" customHeight="1" s="52">
      <c r="A18" s="29" t="inlineStr">
        <is>
          <t>Kubernetes</t>
        </is>
      </c>
      <c r="B18" s="28" t="inlineStr">
        <is>
          <t>Explain how NetworkPolicy works. Default deny pattern.</t>
        </is>
      </c>
      <c r="C18" s="28" t="inlineStr">
        <is>
          <t>CNI plugin enforces; ingress/egress rules; default deny then allow; Calico/Cilium</t>
        </is>
      </c>
      <c r="D18" s="29" t="inlineStr">
        <is>
          <t>Hard</t>
        </is>
      </c>
      <c r="E18" s="29" t="inlineStr">
        <is>
          <t>☐</t>
        </is>
      </c>
      <c r="F18" s="29" t="n">
        <v>0</v>
      </c>
      <c r="G18" s="29" t="inlineStr">
        <is>
          <t>No</t>
        </is>
      </c>
    </row>
    <row r="19" ht="48" customHeight="1" s="52">
      <c r="A19" s="29" t="inlineStr">
        <is>
          <t>Kubernetes</t>
        </is>
      </c>
      <c r="B19" s="3" t="inlineStr">
        <is>
          <t>How do you do a zero-downtime deployment in Kubernetes?</t>
        </is>
      </c>
      <c r="C19" s="3" t="inlineStr">
        <is>
          <t>RollingUpdate strategy; maxSurge/maxUnavailable; readiness probe; PDB; preStop hook</t>
        </is>
      </c>
      <c r="D19" s="29" t="inlineStr">
        <is>
          <t>Hard</t>
        </is>
      </c>
      <c r="E19" s="29" t="inlineStr">
        <is>
          <t>☐</t>
        </is>
      </c>
      <c r="F19" s="29" t="n">
        <v>0</v>
      </c>
      <c r="G19" s="29" t="inlineStr">
        <is>
          <t>No</t>
        </is>
      </c>
    </row>
    <row r="20" ht="48" customHeight="1" s="52">
      <c r="A20" s="29" t="inlineStr">
        <is>
          <t>Terraform</t>
        </is>
      </c>
      <c r="B20" s="28" t="inlineStr">
        <is>
          <t>How do you handle Terraform state in a team?</t>
        </is>
      </c>
      <c r="C20" s="28" t="inlineStr">
        <is>
          <t>Remote state S3; DynamoDB lock; state isolation per env; never commit state to git</t>
        </is>
      </c>
      <c r="D20" s="29" t="inlineStr">
        <is>
          <t>Hard</t>
        </is>
      </c>
      <c r="E20" s="29" t="inlineStr">
        <is>
          <t>☐</t>
        </is>
      </c>
      <c r="F20" s="29" t="n">
        <v>0</v>
      </c>
      <c r="G20" s="29" t="inlineStr">
        <is>
          <t>Yes</t>
        </is>
      </c>
    </row>
    <row r="21" ht="48" customHeight="1" s="52">
      <c r="A21" s="29" t="inlineStr">
        <is>
          <t>Terraform</t>
        </is>
      </c>
      <c r="B21" s="3" t="inlineStr">
        <is>
          <t>Explain Terraform import vs taint vs moved.</t>
        </is>
      </c>
      <c r="C21" s="3" t="inlineStr">
        <is>
          <t>import: bring existing resource; taint: force recreate; moved: rename in state</t>
        </is>
      </c>
      <c r="D21" s="29" t="inlineStr">
        <is>
          <t>Hard</t>
        </is>
      </c>
      <c r="E21" s="29" t="inlineStr">
        <is>
          <t>☐</t>
        </is>
      </c>
      <c r="F21" s="29" t="n">
        <v>0</v>
      </c>
      <c r="G21" s="29" t="inlineStr">
        <is>
          <t>No</t>
        </is>
      </c>
    </row>
    <row r="22" ht="48" customHeight="1" s="52">
      <c r="A22" s="29" t="inlineStr">
        <is>
          <t>Terraform</t>
        </is>
      </c>
      <c r="B22" s="28" t="inlineStr">
        <is>
          <t>How do you manage secrets in Terraform?</t>
        </is>
      </c>
      <c r="C22" s="28" t="inlineStr">
        <is>
          <t>Secrets Manager data source; never in tfvars committed to git; env vars; Vault provider</t>
        </is>
      </c>
      <c r="D22" s="29" t="inlineStr">
        <is>
          <t>Hard</t>
        </is>
      </c>
      <c r="E22" s="29" t="inlineStr">
        <is>
          <t>☐</t>
        </is>
      </c>
      <c r="F22" s="29" t="n">
        <v>0</v>
      </c>
      <c r="G22" s="29" t="inlineStr">
        <is>
          <t>No</t>
        </is>
      </c>
    </row>
    <row r="23" ht="48" customHeight="1" s="52">
      <c r="A23" s="31" t="inlineStr">
        <is>
          <t>AWS IAM</t>
        </is>
      </c>
      <c r="B23" s="3" t="inlineStr">
        <is>
          <t>Explain permission boundaries vs SCPs. When would you use each?</t>
        </is>
      </c>
      <c r="C23" s="3" t="inlineStr">
        <is>
          <t>PB: max permissions for entity; SCP: max for account/OU; PB = dev guardrail; SCP = org policy</t>
        </is>
      </c>
      <c r="D23" s="31" t="inlineStr">
        <is>
          <t>Hard</t>
        </is>
      </c>
      <c r="E23" s="31" t="inlineStr">
        <is>
          <t>☐</t>
        </is>
      </c>
      <c r="F23" s="31" t="n">
        <v>0</v>
      </c>
      <c r="G23" s="31" t="inlineStr">
        <is>
          <t>No</t>
        </is>
      </c>
    </row>
    <row r="24" ht="48" customHeight="1" s="52">
      <c r="A24" s="29" t="inlineStr">
        <is>
          <t>AWS IAM</t>
        </is>
      </c>
      <c r="B24" s="28" t="inlineStr">
        <is>
          <t>How does cross-account access work in AWS?</t>
        </is>
      </c>
      <c r="C24" s="28" t="inlineStr">
        <is>
          <t>assume-role; trust policy; sts:AssumeRole; pass role to CI/CD; cross-account S3</t>
        </is>
      </c>
      <c r="D24" s="29" t="inlineStr">
        <is>
          <t>Hard</t>
        </is>
      </c>
      <c r="E24" s="29" t="inlineStr">
        <is>
          <t>☐</t>
        </is>
      </c>
      <c r="F24" s="29" t="n">
        <v>0</v>
      </c>
      <c r="G24" s="29" t="inlineStr">
        <is>
          <t>No</t>
        </is>
      </c>
    </row>
    <row r="25" ht="48" customHeight="1" s="52">
      <c r="A25" s="29" t="inlineStr">
        <is>
          <t>AWS VPC</t>
        </is>
      </c>
      <c r="B25" s="3" t="inlineStr">
        <is>
          <t>VPC peering vs Transit Gateway vs PrivateLink. When to use each?</t>
        </is>
      </c>
      <c r="C25" s="3" t="inlineStr">
        <is>
          <t>Peering: 1-to-1 no transitive; TGW: hub-and-spoke transitive; PL: expose service privately</t>
        </is>
      </c>
      <c r="D25" s="29" t="inlineStr">
        <is>
          <t>Hard</t>
        </is>
      </c>
      <c r="E25" s="29" t="inlineStr">
        <is>
          <t>☐</t>
        </is>
      </c>
      <c r="F25" s="29" t="n">
        <v>0</v>
      </c>
      <c r="G25" s="29" t="inlineStr">
        <is>
          <t>No</t>
        </is>
      </c>
    </row>
    <row r="26" ht="48" customHeight="1" s="52">
      <c r="A26" s="31" t="inlineStr">
        <is>
          <t>AWS EKS</t>
        </is>
      </c>
      <c r="B26" s="28" t="inlineStr">
        <is>
          <t>Explain IRSA. How is it more secure than node IAM roles?</t>
        </is>
      </c>
      <c r="C26" s="28" t="inlineStr">
        <is>
          <t>OIDC JWKS; SA annotation; STS AssumeRoleWithWebIdentity; pod-level isolation vs node-wide</t>
        </is>
      </c>
      <c r="D26" s="31" t="inlineStr">
        <is>
          <t>Hard</t>
        </is>
      </c>
      <c r="E26" s="31" t="inlineStr">
        <is>
          <t>☐</t>
        </is>
      </c>
      <c r="F26" s="31" t="n">
        <v>0</v>
      </c>
      <c r="G26" s="31" t="inlineStr">
        <is>
          <t>No</t>
        </is>
      </c>
    </row>
    <row r="27" ht="48" customHeight="1" s="52">
      <c r="A27" s="29" t="inlineStr">
        <is>
          <t>AWS EKS</t>
        </is>
      </c>
      <c r="B27" s="3" t="inlineStr">
        <is>
          <t>How do you upgrade an EKS cluster with zero downtime?</t>
        </is>
      </c>
      <c r="C27" s="3" t="inlineStr">
        <is>
          <t>Upgrade control plane first; then node groups (rolling); managed node groups; PDB; drain</t>
        </is>
      </c>
      <c r="D27" s="29" t="inlineStr">
        <is>
          <t>Hard</t>
        </is>
      </c>
      <c r="E27" s="29" t="inlineStr">
        <is>
          <t>☐</t>
        </is>
      </c>
      <c r="F27" s="29" t="n">
        <v>0</v>
      </c>
      <c r="G27" s="29" t="inlineStr">
        <is>
          <t>Yes</t>
        </is>
      </c>
    </row>
    <row r="28" ht="48" customHeight="1" s="52">
      <c r="A28" s="29" t="inlineStr">
        <is>
          <t>AWS EKS</t>
        </is>
      </c>
      <c r="B28" s="28" t="inlineStr">
        <is>
          <t>Cluster Autoscaler vs Karpenter. Which and why?</t>
        </is>
      </c>
      <c r="C28" s="28" t="inlineStr">
        <is>
          <t>CA: node group based, slow; Karpenter: direct EC2, faster, flexible, cost aware</t>
        </is>
      </c>
      <c r="D28" s="29" t="inlineStr">
        <is>
          <t>Hard</t>
        </is>
      </c>
      <c r="E28" s="29" t="inlineStr">
        <is>
          <t>☐</t>
        </is>
      </c>
      <c r="F28" s="29" t="n">
        <v>0</v>
      </c>
      <c r="G28" s="29" t="inlineStr">
        <is>
          <t>No</t>
        </is>
      </c>
    </row>
    <row r="29" ht="48" customHeight="1" s="52">
      <c r="A29" s="31" t="inlineStr">
        <is>
          <t>Observability</t>
        </is>
      </c>
      <c r="B29" s="3" t="inlineStr">
        <is>
          <t>Design an observability stack for a microservices system.</t>
        </is>
      </c>
      <c r="C29" s="3" t="inlineStr">
        <is>
          <t>Metrics: Prometheus+Grafana; Logs: Loki/ELK; Traces: Tempo/Jaeger/X-Ray; SLOs; alerting</t>
        </is>
      </c>
      <c r="D29" s="31" t="inlineStr">
        <is>
          <t>Hard</t>
        </is>
      </c>
      <c r="E29" s="31" t="inlineStr">
        <is>
          <t>☐</t>
        </is>
      </c>
      <c r="F29" s="31" t="n">
        <v>0</v>
      </c>
      <c r="G29" s="31" t="inlineStr">
        <is>
          <t>Yes</t>
        </is>
      </c>
    </row>
    <row r="30" ht="48" customHeight="1" s="52">
      <c r="A30" s="30" t="inlineStr">
        <is>
          <t>Observability</t>
        </is>
      </c>
      <c r="B30" s="28" t="inlineStr">
        <is>
          <t>Explain SLI, SLO, SLA, Error Budget.</t>
        </is>
      </c>
      <c r="C30" s="28" t="inlineStr">
        <is>
          <t>SLI: measurement; SLO: target; SLA: contract; Error budget: 1-SLO = allowed downtime</t>
        </is>
      </c>
      <c r="D30" s="30" t="inlineStr">
        <is>
          <t>Medium</t>
        </is>
      </c>
      <c r="E30" s="30" t="inlineStr">
        <is>
          <t>☐</t>
        </is>
      </c>
      <c r="F30" s="30" t="n">
        <v>0</v>
      </c>
      <c r="G30" s="30" t="inlineStr">
        <is>
          <t>No</t>
        </is>
      </c>
    </row>
    <row r="31" ht="48" customHeight="1" s="52">
      <c r="A31" s="31" t="inlineStr">
        <is>
          <t>Security</t>
        </is>
      </c>
      <c r="B31" s="3" t="inlineStr">
        <is>
          <t>How would you implement a zero-trust security model on AWS?</t>
        </is>
      </c>
      <c r="C31" s="3" t="inlineStr">
        <is>
          <t>Every request authenticated; mTLS; least privilege IAM; PrivateLink; GuardDuty; VPC FL</t>
        </is>
      </c>
      <c r="D31" s="31" t="inlineStr">
        <is>
          <t>Hard</t>
        </is>
      </c>
      <c r="E31" s="31" t="inlineStr">
        <is>
          <t>☐</t>
        </is>
      </c>
      <c r="F31" s="31" t="n">
        <v>0</v>
      </c>
      <c r="G31" s="31" t="inlineStr">
        <is>
          <t>Yes</t>
        </is>
      </c>
    </row>
    <row r="32" ht="48" customHeight="1" s="52">
      <c r="A32" s="29" t="inlineStr">
        <is>
          <t>Security</t>
        </is>
      </c>
      <c r="B32" s="28" t="inlineStr">
        <is>
          <t>How do you handle a security incident where GuardDuty fires?</t>
        </is>
      </c>
      <c r="C32" s="28" t="inlineStr">
        <is>
          <t>Runbook; isolate EC2/SG; snapshot; notify; forensics; remediate; post-mortem</t>
        </is>
      </c>
      <c r="D32" s="29" t="inlineStr">
        <is>
          <t>Hard</t>
        </is>
      </c>
      <c r="E32" s="29" t="inlineStr">
        <is>
          <t>☐</t>
        </is>
      </c>
      <c r="F32" s="29" t="n">
        <v>0</v>
      </c>
      <c r="G32" s="29" t="inlineStr">
        <is>
          <t>Yes</t>
        </is>
      </c>
    </row>
    <row r="33" ht="48" customHeight="1" s="52">
      <c r="A33" s="29" t="inlineStr">
        <is>
          <t>GitOps</t>
        </is>
      </c>
      <c r="B33" s="3" t="inlineStr">
        <is>
          <t>Explain GitOps principles. ArgoCD vs Flux.</t>
        </is>
      </c>
      <c r="C33" s="3" t="inlineStr">
        <is>
          <t>Desired state in Git; reconcile loop; ArgoCD: push model + UI; Flux: pull, GitOps toolkit</t>
        </is>
      </c>
      <c r="D33" s="29" t="inlineStr">
        <is>
          <t>Hard</t>
        </is>
      </c>
      <c r="E33" s="29" t="inlineStr">
        <is>
          <t>☐</t>
        </is>
      </c>
      <c r="F33" s="29" t="n">
        <v>0</v>
      </c>
      <c r="G33" s="29" t="inlineStr">
        <is>
          <t>No</t>
        </is>
      </c>
    </row>
    <row r="34" ht="48" customHeight="1" s="52">
      <c r="A34" s="29" t="inlineStr">
        <is>
          <t>GitOps</t>
        </is>
      </c>
      <c r="B34" s="28" t="inlineStr">
        <is>
          <t>How do you manage secrets in a GitOps workflow?</t>
        </is>
      </c>
      <c r="C34" s="28" t="inlineStr">
        <is>
          <t>Sealed Secrets; External Secrets Operator (ESO); SOPS; never plaintext in Git</t>
        </is>
      </c>
      <c r="D34" s="29" t="inlineStr">
        <is>
          <t>Hard</t>
        </is>
      </c>
      <c r="E34" s="29" t="inlineStr">
        <is>
          <t>☐</t>
        </is>
      </c>
      <c r="F34" s="29" t="n">
        <v>0</v>
      </c>
      <c r="G34" s="29" t="inlineStr">
        <is>
          <t>No</t>
        </is>
      </c>
    </row>
    <row r="35" ht="48" customHeight="1" s="52">
      <c r="A35" s="31" t="inlineStr">
        <is>
          <t>System Design</t>
        </is>
      </c>
      <c r="B35" s="3" t="inlineStr">
        <is>
          <t>Design a CI/CD system that handles 100 microservices across 3 regions.</t>
        </is>
      </c>
      <c r="C35" s="3" t="inlineStr">
        <is>
          <t>Shared Jenkins/GHA; Helm charts in OCI registry; ArgoCD app-of-apps per region; canary per svc</t>
        </is>
      </c>
      <c r="D35" s="31" t="inlineStr">
        <is>
          <t>Hard</t>
        </is>
      </c>
      <c r="E35" s="31" t="inlineStr">
        <is>
          <t>☐</t>
        </is>
      </c>
      <c r="F35" s="31" t="n">
        <v>0</v>
      </c>
      <c r="G35" s="31" t="inlineStr">
        <is>
          <t>Yes</t>
        </is>
      </c>
    </row>
    <row r="36" ht="48" customHeight="1" s="52">
      <c r="A36" s="31" t="inlineStr">
        <is>
          <t>System Design</t>
        </is>
      </c>
      <c r="B36" s="28" t="inlineStr">
        <is>
          <t>How would you achieve RTO of 1 hr and RPO of 15 min?</t>
        </is>
      </c>
      <c r="C36" s="28" t="inlineStr">
        <is>
          <t>Active-passive; RDS Multi-AZ + CRR; Route53 failover; Pilot Light; regular DR drills</t>
        </is>
      </c>
      <c r="D36" s="31" t="inlineStr">
        <is>
          <t>Hard</t>
        </is>
      </c>
      <c r="E36" s="31" t="inlineStr">
        <is>
          <t>☐</t>
        </is>
      </c>
      <c r="F36" s="31" t="n">
        <v>0</v>
      </c>
      <c r="G36" s="31" t="inlineStr">
        <is>
          <t>Yes</t>
        </is>
      </c>
    </row>
    <row r="37" ht="48" customHeight="1" s="52">
      <c r="A37" s="30" t="inlineStr">
        <is>
          <t>Behavioural</t>
        </is>
      </c>
      <c r="B37" s="3" t="inlineStr">
        <is>
          <t>Tell me about a time you reduced infrastructure costs significantly.</t>
        </is>
      </c>
      <c r="C37" s="3" t="inlineStr">
        <is>
          <t>STAR: context + action (spot, rightsize, Savings Plan) + result (X% saving)</t>
        </is>
      </c>
      <c r="D37" s="30" t="inlineStr">
        <is>
          <t>Medium</t>
        </is>
      </c>
      <c r="E37" s="30" t="inlineStr">
        <is>
          <t>☐</t>
        </is>
      </c>
      <c r="F37" s="30" t="n">
        <v>0</v>
      </c>
      <c r="G37" s="30" t="inlineStr">
        <is>
          <t>Yes</t>
        </is>
      </c>
    </row>
    <row r="38" ht="48" customHeight="1" s="52">
      <c r="A38" s="29" t="inlineStr">
        <is>
          <t>Behavioural</t>
        </is>
      </c>
      <c r="B38" s="28" t="inlineStr">
        <is>
          <t>Describe a production incident you handled. What was the outcome?</t>
        </is>
      </c>
      <c r="C38" s="28" t="inlineStr">
        <is>
          <t>STAR: incident + your role + actions + resolution + post-mortem improvement</t>
        </is>
      </c>
      <c r="D38" s="29" t="inlineStr">
        <is>
          <t>Hard</t>
        </is>
      </c>
      <c r="E38" s="29" t="inlineStr">
        <is>
          <t>☐</t>
        </is>
      </c>
      <c r="F38" s="29" t="n">
        <v>0</v>
      </c>
      <c r="G38" s="29" t="inlineStr">
        <is>
          <t>Yes</t>
        </is>
      </c>
    </row>
    <row r="39" ht="48" customHeight="1" s="52">
      <c r="A39" s="30" t="inlineStr">
        <is>
          <t>Behavioural</t>
        </is>
      </c>
      <c r="B39" s="3" t="inlineStr">
        <is>
          <t>How do you convince a team to adopt a new tool or process?</t>
        </is>
      </c>
      <c r="C39" s="3" t="inlineStr">
        <is>
          <t>STAR: data-driven; POC; small win; metrics; gradual rollout; document</t>
        </is>
      </c>
      <c r="D39" s="30" t="inlineStr">
        <is>
          <t>Medium</t>
        </is>
      </c>
      <c r="E39" s="30" t="inlineStr">
        <is>
          <t>☐</t>
        </is>
      </c>
      <c r="F39" s="30" t="n">
        <v>0</v>
      </c>
      <c r="G39" s="30" t="inlineStr">
        <is>
          <t>Yes</t>
        </is>
      </c>
    </row>
    <row r="40">
      <c r="A40" s="30" t="inlineStr">
        <is>
          <t>Platform Eng</t>
        </is>
      </c>
      <c r="B40" s="3" t="inlineStr">
        <is>
          <t>What is an Internal Developer Platform? How does Backstage help?</t>
        </is>
      </c>
      <c r="C40" s="3" t="inlineStr">
        <is>
          <t>IDP = self-service infra+tooling layer; Backstage: catalog, scaffolder, TechDocs; reduce cognitive load; golden paths</t>
        </is>
      </c>
      <c r="D40" s="30" t="inlineStr">
        <is>
          <t>Medium</t>
        </is>
      </c>
      <c r="E40" s="30" t="inlineStr">
        <is>
          <t>☐</t>
        </is>
      </c>
      <c r="F40" s="30" t="n">
        <v>0</v>
      </c>
      <c r="G40" s="30" t="inlineStr">
        <is>
          <t>Yes</t>
        </is>
      </c>
    </row>
    <row r="41">
      <c r="A41" s="30" t="inlineStr">
        <is>
          <t>Platform Eng</t>
        </is>
      </c>
      <c r="B41" s="3" t="inlineStr">
        <is>
          <t>How do you build a golden path CI/CD template for 50+ teams?</t>
        </is>
      </c>
      <c r="C41" s="3" t="inlineStr">
        <is>
          <t>Shared Jenkins library / reusable GH Actions; templated Dockerfile; Backstage scaffolder; guardrails baked-in; opt-out not opt-in</t>
        </is>
      </c>
      <c r="D41" s="30" t="inlineStr">
        <is>
          <t>Hard</t>
        </is>
      </c>
      <c r="E41" s="30" t="inlineStr">
        <is>
          <t>☐</t>
        </is>
      </c>
      <c r="F41" s="30" t="n">
        <v>0</v>
      </c>
      <c r="G41" s="30" t="inlineStr">
        <is>
          <t>Yes</t>
        </is>
      </c>
    </row>
    <row r="42">
      <c r="A42" s="30" t="inlineStr">
        <is>
          <t>☸️ Kubernetes</t>
        </is>
      </c>
      <c r="B42" s="3" t="inlineStr">
        <is>
          <t>How does Karpenter work? Why choose it over Cluster Autoscaler?</t>
        </is>
      </c>
      <c r="C42" s="3" t="inlineStr">
        <is>
          <t>CA: ASG-based, slow; Karpenter: direct EC2 API, faster provisioning, bin-packing, spot-aware, flexible NodePool constraints</t>
        </is>
      </c>
      <c r="D42" s="30" t="inlineStr">
        <is>
          <t>Hard</t>
        </is>
      </c>
      <c r="E42" s="30" t="inlineStr">
        <is>
          <t>☐</t>
        </is>
      </c>
      <c r="F42" s="30" t="n">
        <v>0</v>
      </c>
      <c r="G42" s="30" t="inlineStr">
        <is>
          <t>No</t>
        </is>
      </c>
    </row>
    <row r="43">
      <c r="A43" s="30" t="inlineStr">
        <is>
          <t>🌐 eBPF</t>
        </is>
      </c>
      <c r="B43" s="3" t="inlineStr">
        <is>
          <t>What is eBPF? How does Cilium use it for K8s networking and security?</t>
        </is>
      </c>
      <c r="C43" s="3" t="inlineStr">
        <is>
          <t>eBPF: safe kernel programs w/o modules; Cilium replaces kube-proxy, L7 policies, no iptables, Hubble for observability</t>
        </is>
      </c>
      <c r="D43" s="30" t="inlineStr">
        <is>
          <t>Hard</t>
        </is>
      </c>
      <c r="E43" s="30" t="inlineStr">
        <is>
          <t>☐</t>
        </is>
      </c>
      <c r="F43" s="30" t="n">
        <v>0</v>
      </c>
      <c r="G43" s="30" t="inlineStr">
        <is>
          <t>No</t>
        </is>
      </c>
    </row>
    <row r="44">
      <c r="A44" s="30" t="inlineStr">
        <is>
          <t>🔐 Supply Chain</t>
        </is>
      </c>
      <c r="B44" s="3" t="inlineStr">
        <is>
          <t>What is SBOM? How do you implement supply chain security in pipelines?</t>
        </is>
      </c>
      <c r="C44" s="3" t="inlineStr">
        <is>
          <t>SBOM: software bill of materials (Syft/SPDX); cosign: image signing; SLSA framework: provenance; dep scanning; verify before deploy</t>
        </is>
      </c>
      <c r="D44" s="30" t="inlineStr">
        <is>
          <t>Hard</t>
        </is>
      </c>
      <c r="E44" s="30" t="inlineStr">
        <is>
          <t>☐</t>
        </is>
      </c>
      <c r="F44" s="30" t="n">
        <v>0</v>
      </c>
      <c r="G44" s="30" t="inlineStr">
        <is>
          <t>No</t>
        </is>
      </c>
    </row>
    <row r="45">
      <c r="A45" s="30" t="inlineStr">
        <is>
          <t>Incident Mgmt</t>
        </is>
      </c>
      <c r="B45" s="3" t="inlineStr">
        <is>
          <t>Walk through how you would manage a P1 production outage.</t>
        </is>
      </c>
      <c r="C45" s="3" t="inlineStr">
        <is>
          <t>Alert → acknowledge SLO breach → incident channel → timeline log → mitigation first, RCA after → comms to stakeholders → blameless postmortem → action items</t>
        </is>
      </c>
      <c r="D45" s="30" t="inlineStr">
        <is>
          <t>Hard</t>
        </is>
      </c>
      <c r="E45" s="30" t="inlineStr">
        <is>
          <t>☐</t>
        </is>
      </c>
      <c r="F45" s="30" t="n">
        <v>0</v>
      </c>
      <c r="G45" s="30" t="inlineStr">
        <is>
          <t>Yes</t>
        </is>
      </c>
    </row>
    <row r="46">
      <c r="A46" s="30" t="inlineStr">
        <is>
          <t>FinOps</t>
        </is>
      </c>
      <c r="B46" s="3" t="inlineStr">
        <is>
          <t>How would you implement cost governance for a team spending $100k+/month on AWS?</t>
        </is>
      </c>
      <c r="C46" s="3" t="inlineStr">
        <is>
          <t>Tagging strategy; Budget alerts; Cost Anomaly Detection; Savings Plans analysis; rightsizing via Compute Optimizer; FinOps culture; chargeback/showback per team</t>
        </is>
      </c>
      <c r="D46" s="30" t="inlineStr">
        <is>
          <t>Hard</t>
        </is>
      </c>
      <c r="E46" s="30" t="inlineStr">
        <is>
          <t>☐</t>
        </is>
      </c>
      <c r="F46" s="30" t="n">
        <v>0</v>
      </c>
      <c r="G46" s="30" t="inlineStr">
        <is>
          <t>Yes</t>
        </is>
      </c>
    </row>
    <row r="47">
      <c r="A47" s="30" t="inlineStr">
        <is>
          <t>🤖 AI DevOps</t>
        </is>
      </c>
      <c r="B47" s="3" t="inlineStr">
        <is>
          <t>How do you integrate AI tools (Copilot, Amazon Q) into DevOps workflows?</t>
        </is>
      </c>
      <c r="C47" s="3" t="inlineStr">
        <is>
          <t>Copilot for IaC/pipeline authoring; Amazon Q CLI for AWS ops; AI code review in CI; validate AI output rigorously; dont commit secrets from AI suggestions</t>
        </is>
      </c>
      <c r="D47" s="30" t="inlineStr">
        <is>
          <t>Medium</t>
        </is>
      </c>
      <c r="E47" s="30" t="inlineStr">
        <is>
          <t>☐</t>
        </is>
      </c>
      <c r="F47" s="30" t="n">
        <v>0</v>
      </c>
      <c r="G47" s="30" t="inlineStr">
        <is>
          <t>Yes</t>
        </is>
      </c>
    </row>
    <row r="48">
      <c r="A48" s="30" t="inlineStr">
        <is>
          <t>Service Mesh</t>
        </is>
      </c>
      <c r="B48" s="3" t="inlineStr">
        <is>
          <t>When would you use a service mesh (Istio/Linkerd)? What are the trade-offs?</t>
        </is>
      </c>
      <c r="C48" s="3" t="inlineStr">
        <is>
          <t>Use for: mTLS between services, traffic shaping, circuit breaker, distributed tracing; Trade-offs: added latency, complexity, sidecars overhead; Cilium L7 as lighter alternative</t>
        </is>
      </c>
      <c r="D48" s="30" t="inlineStr">
        <is>
          <t>Hard</t>
        </is>
      </c>
      <c r="E48" s="30" t="inlineStr">
        <is>
          <t>☐</t>
        </is>
      </c>
      <c r="F48" s="30" t="n">
        <v>0</v>
      </c>
      <c r="G48" s="30" t="inlineStr">
        <is>
          <t>No</t>
        </is>
      </c>
    </row>
    <row r="49">
      <c r="A49" s="30" t="inlineStr">
        <is>
          <t>Multi-cloud</t>
        </is>
      </c>
      <c r="B49" s="3" t="inlineStr">
        <is>
          <t>What challenges arise running Kubernetes workloads across multiple clouds?</t>
        </is>
      </c>
      <c r="C49" s="3" t="inlineStr">
        <is>
          <t>Networking: VPN/direct connect latency; IAM: no single identity plane; storage: no cross-cloud PV; tooling: Crossplane/Terraform abstraction; DNS federation; DR complexity</t>
        </is>
      </c>
      <c r="D49" s="30" t="inlineStr">
        <is>
          <t>Hard</t>
        </is>
      </c>
      <c r="E49" s="30" t="inlineStr">
        <is>
          <t>☐</t>
        </is>
      </c>
      <c r="F49" s="30" t="n">
        <v>0</v>
      </c>
      <c r="G49" s="30" t="inlineStr">
        <is>
          <t>No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16A085"/>
    <outlinePr summaryBelow="1" summaryRight="1"/>
    <pageSetUpPr/>
  </sheetPr>
  <dimension ref="A1:J106"/>
  <sheetViews>
    <sheetView workbookViewId="0">
      <pane ySplit="2" topLeftCell="A3" activePane="bottomLeft" state="frozen"/>
      <selection pane="bottomLeft" activeCell="G3" sqref="G3"/>
    </sheetView>
  </sheetViews>
  <sheetFormatPr baseColWidth="8" defaultRowHeight="15"/>
  <cols>
    <col width="13" customWidth="1" style="52" min="1" max="1"/>
    <col width="22" customWidth="1" style="52" min="2" max="2"/>
    <col width="30" customWidth="1" style="52" min="3" max="3"/>
    <col width="14" customWidth="1" style="52" min="4" max="5"/>
    <col width="28" customWidth="1" style="52" min="6" max="6"/>
    <col width="14" customWidth="1" style="52" min="7" max="8"/>
    <col width="22" customWidth="1" style="52" min="9" max="9"/>
    <col width="28" customWidth="1" style="52" min="10" max="10"/>
  </cols>
  <sheetData>
    <row r="1" ht="32.1" customHeight="1" s="52">
      <c r="A1" s="66" t="inlineStr">
        <is>
          <t>📤  JOB APPLICATIONS TRACKER  —  Target: AWS DevOps / Linux Admin+DevOps Engineer  |  ₹18-35 LPA+</t>
        </is>
      </c>
    </row>
    <row r="2">
      <c r="A2" s="1" t="inlineStr">
        <is>
          <t>Date Applied</t>
        </is>
      </c>
      <c r="B2" s="1" t="inlineStr">
        <is>
          <t>Company</t>
        </is>
      </c>
      <c r="C2" s="1" t="inlineStr">
        <is>
          <t>Role / JD Title</t>
        </is>
      </c>
      <c r="D2" s="1" t="inlineStr">
        <is>
          <t>Location/Remote</t>
        </is>
      </c>
      <c r="E2" s="1" t="inlineStr">
        <is>
          <t>Salary Range</t>
        </is>
      </c>
      <c r="F2" s="1" t="inlineStr">
        <is>
          <t>Job Link</t>
        </is>
      </c>
      <c r="G2" s="1" t="inlineStr">
        <is>
          <t>Stage</t>
        </is>
      </c>
      <c r="H2" s="1" t="inlineStr">
        <is>
          <t>Follow-up Date</t>
        </is>
      </c>
      <c r="I2" s="1" t="inlineStr">
        <is>
          <t>Contact / Recruiter</t>
        </is>
      </c>
      <c r="J2" s="1" t="inlineStr">
        <is>
          <t>Notes</t>
        </is>
      </c>
    </row>
    <row r="3" ht="18" customHeight="1" s="52">
      <c r="A3" s="26" t="n"/>
      <c r="B3" s="26" t="n"/>
      <c r="C3" s="26" t="n"/>
      <c r="D3" s="26" t="n"/>
      <c r="E3" s="26" t="n"/>
      <c r="F3" s="26" t="n"/>
      <c r="G3" s="26" t="inlineStr">
        <is>
          <t>Applied</t>
        </is>
      </c>
      <c r="H3" s="26" t="n"/>
      <c r="I3" s="26" t="n"/>
      <c r="J3" s="26" t="n"/>
    </row>
    <row r="4" ht="18" customHeight="1" s="52">
      <c r="A4" s="27" t="n"/>
      <c r="B4" s="27" t="n"/>
      <c r="C4" s="27" t="n"/>
      <c r="D4" s="27" t="n"/>
      <c r="E4" s="27" t="n"/>
      <c r="F4" s="27" t="n"/>
      <c r="G4" s="27" t="inlineStr">
        <is>
          <t>Applied</t>
        </is>
      </c>
      <c r="H4" s="27" t="n"/>
      <c r="I4" s="27" t="n"/>
      <c r="J4" s="27" t="n"/>
    </row>
    <row r="5" ht="18" customHeight="1" s="52">
      <c r="A5" s="26" t="n"/>
      <c r="B5" s="26" t="n"/>
      <c r="C5" s="26" t="n"/>
      <c r="D5" s="26" t="n"/>
      <c r="E5" s="26" t="n"/>
      <c r="F5" s="26" t="n"/>
      <c r="G5" s="26" t="inlineStr">
        <is>
          <t>Applied</t>
        </is>
      </c>
      <c r="H5" s="26" t="n"/>
      <c r="I5" s="26" t="n"/>
      <c r="J5" s="26" t="n"/>
    </row>
    <row r="6" ht="18" customHeight="1" s="52">
      <c r="A6" s="27" t="n"/>
      <c r="B6" s="27" t="n"/>
      <c r="C6" s="27" t="n"/>
      <c r="D6" s="27" t="n"/>
      <c r="E6" s="27" t="n"/>
      <c r="F6" s="27" t="n"/>
      <c r="G6" s="27" t="inlineStr">
        <is>
          <t>Applied</t>
        </is>
      </c>
      <c r="H6" s="27" t="n"/>
      <c r="I6" s="27" t="n"/>
      <c r="J6" s="27" t="n"/>
    </row>
    <row r="7" ht="18" customHeight="1" s="52">
      <c r="A7" s="26" t="n"/>
      <c r="B7" s="26" t="n"/>
      <c r="C7" s="26" t="n"/>
      <c r="D7" s="26" t="n"/>
      <c r="E7" s="26" t="n"/>
      <c r="F7" s="26" t="n"/>
      <c r="G7" s="26" t="inlineStr">
        <is>
          <t>Applied</t>
        </is>
      </c>
      <c r="H7" s="26" t="n"/>
      <c r="I7" s="26" t="n"/>
      <c r="J7" s="26" t="n"/>
    </row>
    <row r="8" ht="18" customHeight="1" s="52">
      <c r="A8" s="27" t="n"/>
      <c r="B8" s="27" t="n"/>
      <c r="C8" s="27" t="n"/>
      <c r="D8" s="27" t="n"/>
      <c r="E8" s="27" t="n"/>
      <c r="F8" s="27" t="n"/>
      <c r="G8" s="27" t="inlineStr">
        <is>
          <t>Applied</t>
        </is>
      </c>
      <c r="H8" s="27" t="n"/>
      <c r="I8" s="27" t="n"/>
      <c r="J8" s="27" t="n"/>
    </row>
    <row r="9" ht="18" customHeight="1" s="52">
      <c r="A9" s="26" t="n"/>
      <c r="B9" s="26" t="n"/>
      <c r="C9" s="26" t="n"/>
      <c r="D9" s="26" t="n"/>
      <c r="E9" s="26" t="n"/>
      <c r="F9" s="26" t="n"/>
      <c r="G9" s="26" t="inlineStr">
        <is>
          <t>Applied</t>
        </is>
      </c>
      <c r="H9" s="26" t="n"/>
      <c r="I9" s="26" t="n"/>
      <c r="J9" s="26" t="n"/>
    </row>
    <row r="10" ht="18" customHeight="1" s="52">
      <c r="A10" s="27" t="n"/>
      <c r="B10" s="27" t="n"/>
      <c r="C10" s="27" t="n"/>
      <c r="D10" s="27" t="n"/>
      <c r="E10" s="27" t="n"/>
      <c r="F10" s="27" t="n"/>
      <c r="G10" s="27" t="inlineStr">
        <is>
          <t>Applied</t>
        </is>
      </c>
      <c r="H10" s="27" t="n"/>
      <c r="I10" s="27" t="n"/>
      <c r="J10" s="27" t="n"/>
    </row>
    <row r="11" ht="18" customHeight="1" s="52">
      <c r="A11" s="26" t="n"/>
      <c r="B11" s="26" t="n"/>
      <c r="C11" s="26" t="n"/>
      <c r="D11" s="26" t="n"/>
      <c r="E11" s="26" t="n"/>
      <c r="F11" s="26" t="n"/>
      <c r="G11" s="26" t="inlineStr">
        <is>
          <t>Applied</t>
        </is>
      </c>
      <c r="H11" s="26" t="n"/>
      <c r="I11" s="26" t="n"/>
      <c r="J11" s="26" t="n"/>
    </row>
    <row r="12" ht="18" customHeight="1" s="52">
      <c r="A12" s="27" t="n"/>
      <c r="B12" s="27" t="n"/>
      <c r="C12" s="27" t="n"/>
      <c r="D12" s="27" t="n"/>
      <c r="E12" s="27" t="n"/>
      <c r="F12" s="27" t="n"/>
      <c r="G12" s="27" t="inlineStr">
        <is>
          <t>Applied</t>
        </is>
      </c>
      <c r="H12" s="27" t="n"/>
      <c r="I12" s="27" t="n"/>
      <c r="J12" s="27" t="n"/>
    </row>
    <row r="13" ht="18" customHeight="1" s="52">
      <c r="A13" s="26" t="n"/>
      <c r="B13" s="26" t="n"/>
      <c r="C13" s="26" t="n"/>
      <c r="D13" s="26" t="n"/>
      <c r="E13" s="26" t="n"/>
      <c r="F13" s="26" t="n"/>
      <c r="G13" s="26" t="inlineStr">
        <is>
          <t>Applied</t>
        </is>
      </c>
      <c r="H13" s="26" t="n"/>
      <c r="I13" s="26" t="n"/>
      <c r="J13" s="26" t="n"/>
    </row>
    <row r="14" ht="18" customHeight="1" s="52">
      <c r="A14" s="27" t="n"/>
      <c r="B14" s="27" t="n"/>
      <c r="C14" s="27" t="n"/>
      <c r="D14" s="27" t="n"/>
      <c r="E14" s="27" t="n"/>
      <c r="F14" s="27" t="n"/>
      <c r="G14" s="27" t="inlineStr">
        <is>
          <t>Applied</t>
        </is>
      </c>
      <c r="H14" s="27" t="n"/>
      <c r="I14" s="27" t="n"/>
      <c r="J14" s="27" t="n"/>
    </row>
    <row r="15" ht="18" customHeight="1" s="52">
      <c r="A15" s="26" t="n"/>
      <c r="B15" s="26" t="n"/>
      <c r="C15" s="26" t="n"/>
      <c r="D15" s="26" t="n"/>
      <c r="E15" s="26" t="n"/>
      <c r="F15" s="26" t="n"/>
      <c r="G15" s="26" t="inlineStr">
        <is>
          <t>Applied</t>
        </is>
      </c>
      <c r="H15" s="26" t="n"/>
      <c r="I15" s="26" t="n"/>
      <c r="J15" s="26" t="n"/>
    </row>
    <row r="16" ht="18" customHeight="1" s="52">
      <c r="A16" s="27" t="n"/>
      <c r="B16" s="27" t="n"/>
      <c r="C16" s="27" t="n"/>
      <c r="D16" s="27" t="n"/>
      <c r="E16" s="27" t="n"/>
      <c r="F16" s="27" t="n"/>
      <c r="G16" s="27" t="inlineStr">
        <is>
          <t>Applied</t>
        </is>
      </c>
      <c r="H16" s="27" t="n"/>
      <c r="I16" s="27" t="n"/>
      <c r="J16" s="27" t="n"/>
    </row>
    <row r="17" ht="18" customHeight="1" s="52">
      <c r="A17" s="26" t="n"/>
      <c r="B17" s="26" t="n"/>
      <c r="C17" s="26" t="n"/>
      <c r="D17" s="26" t="n"/>
      <c r="E17" s="26" t="n"/>
      <c r="F17" s="26" t="n"/>
      <c r="G17" s="26" t="inlineStr">
        <is>
          <t>Applied</t>
        </is>
      </c>
      <c r="H17" s="26" t="n"/>
      <c r="I17" s="26" t="n"/>
      <c r="J17" s="26" t="n"/>
    </row>
    <row r="18" ht="18" customHeight="1" s="52">
      <c r="A18" s="27" t="n"/>
      <c r="B18" s="27" t="n"/>
      <c r="C18" s="27" t="n"/>
      <c r="D18" s="27" t="n"/>
      <c r="E18" s="27" t="n"/>
      <c r="F18" s="27" t="n"/>
      <c r="G18" s="27" t="inlineStr">
        <is>
          <t>Applied</t>
        </is>
      </c>
      <c r="H18" s="27" t="n"/>
      <c r="I18" s="27" t="n"/>
      <c r="J18" s="27" t="n"/>
    </row>
    <row r="19" ht="18" customHeight="1" s="52">
      <c r="A19" s="26" t="n"/>
      <c r="B19" s="26" t="n"/>
      <c r="C19" s="26" t="n"/>
      <c r="D19" s="26" t="n"/>
      <c r="E19" s="26" t="n"/>
      <c r="F19" s="26" t="n"/>
      <c r="G19" s="26" t="inlineStr">
        <is>
          <t>Applied</t>
        </is>
      </c>
      <c r="H19" s="26" t="n"/>
      <c r="I19" s="26" t="n"/>
      <c r="J19" s="26" t="n"/>
    </row>
    <row r="20" ht="18" customHeight="1" s="52">
      <c r="A20" s="27" t="n"/>
      <c r="B20" s="27" t="n"/>
      <c r="C20" s="27" t="n"/>
      <c r="D20" s="27" t="n"/>
      <c r="E20" s="27" t="n"/>
      <c r="F20" s="27" t="n"/>
      <c r="G20" s="27" t="inlineStr">
        <is>
          <t>Applied</t>
        </is>
      </c>
      <c r="H20" s="27" t="n"/>
      <c r="I20" s="27" t="n"/>
      <c r="J20" s="27" t="n"/>
    </row>
    <row r="21" ht="18" customHeight="1" s="52">
      <c r="A21" s="26" t="n"/>
      <c r="B21" s="26" t="n"/>
      <c r="C21" s="26" t="n"/>
      <c r="D21" s="26" t="n"/>
      <c r="E21" s="26" t="n"/>
      <c r="F21" s="26" t="n"/>
      <c r="G21" s="26" t="inlineStr">
        <is>
          <t>Applied</t>
        </is>
      </c>
      <c r="H21" s="26" t="n"/>
      <c r="I21" s="26" t="n"/>
      <c r="J21" s="26" t="n"/>
    </row>
    <row r="22" ht="18" customHeight="1" s="52">
      <c r="A22" s="27" t="n"/>
      <c r="B22" s="27" t="n"/>
      <c r="C22" s="27" t="n"/>
      <c r="D22" s="27" t="n"/>
      <c r="E22" s="27" t="n"/>
      <c r="F22" s="27" t="n"/>
      <c r="G22" s="27" t="inlineStr">
        <is>
          <t>Applied</t>
        </is>
      </c>
      <c r="H22" s="27" t="n"/>
      <c r="I22" s="27" t="n"/>
      <c r="J22" s="27" t="n"/>
    </row>
    <row r="23" ht="18" customHeight="1" s="52">
      <c r="A23" s="26" t="n"/>
      <c r="B23" s="26" t="n"/>
      <c r="C23" s="26" t="n"/>
      <c r="D23" s="26" t="n"/>
      <c r="E23" s="26" t="n"/>
      <c r="F23" s="26" t="n"/>
      <c r="G23" s="26" t="inlineStr">
        <is>
          <t>Applied</t>
        </is>
      </c>
      <c r="H23" s="26" t="n"/>
      <c r="I23" s="26" t="n"/>
      <c r="J23" s="26" t="n"/>
    </row>
    <row r="24" ht="18" customHeight="1" s="52">
      <c r="A24" s="27" t="n"/>
      <c r="B24" s="27" t="n"/>
      <c r="C24" s="27" t="n"/>
      <c r="D24" s="27" t="n"/>
      <c r="E24" s="27" t="n"/>
      <c r="F24" s="27" t="n"/>
      <c r="G24" s="27" t="inlineStr">
        <is>
          <t>Applied</t>
        </is>
      </c>
      <c r="H24" s="27" t="n"/>
      <c r="I24" s="27" t="n"/>
      <c r="J24" s="27" t="n"/>
    </row>
    <row r="25" ht="18" customHeight="1" s="52">
      <c r="A25" s="26" t="n"/>
      <c r="B25" s="26" t="n"/>
      <c r="C25" s="26" t="n"/>
      <c r="D25" s="26" t="n"/>
      <c r="E25" s="26" t="n"/>
      <c r="F25" s="26" t="n"/>
      <c r="G25" s="26" t="inlineStr">
        <is>
          <t>Applied</t>
        </is>
      </c>
      <c r="H25" s="26" t="n"/>
      <c r="I25" s="26" t="n"/>
      <c r="J25" s="26" t="n"/>
    </row>
    <row r="26" ht="18" customHeight="1" s="52">
      <c r="A26" s="27" t="n"/>
      <c r="B26" s="27" t="n"/>
      <c r="C26" s="27" t="n"/>
      <c r="D26" s="27" t="n"/>
      <c r="E26" s="27" t="n"/>
      <c r="F26" s="27" t="n"/>
      <c r="G26" s="27" t="inlineStr">
        <is>
          <t>Applied</t>
        </is>
      </c>
      <c r="H26" s="27" t="n"/>
      <c r="I26" s="27" t="n"/>
      <c r="J26" s="27" t="n"/>
    </row>
    <row r="27" ht="18" customHeight="1" s="52">
      <c r="A27" s="26" t="n"/>
      <c r="B27" s="26" t="n"/>
      <c r="C27" s="26" t="n"/>
      <c r="D27" s="26" t="n"/>
      <c r="E27" s="26" t="n"/>
      <c r="F27" s="26" t="n"/>
      <c r="G27" s="26" t="inlineStr">
        <is>
          <t>Applied</t>
        </is>
      </c>
      <c r="H27" s="26" t="n"/>
      <c r="I27" s="26" t="n"/>
      <c r="J27" s="26" t="n"/>
    </row>
    <row r="28" ht="18" customHeight="1" s="52">
      <c r="A28" s="27" t="n"/>
      <c r="B28" s="27" t="n"/>
      <c r="C28" s="27" t="n"/>
      <c r="D28" s="27" t="n"/>
      <c r="E28" s="27" t="n"/>
      <c r="F28" s="27" t="n"/>
      <c r="G28" s="27" t="inlineStr">
        <is>
          <t>Applied</t>
        </is>
      </c>
      <c r="H28" s="27" t="n"/>
      <c r="I28" s="27" t="n"/>
      <c r="J28" s="27" t="n"/>
    </row>
    <row r="29" ht="18" customHeight="1" s="52">
      <c r="A29" s="26" t="n"/>
      <c r="B29" s="26" t="n"/>
      <c r="C29" s="26" t="n"/>
      <c r="D29" s="26" t="n"/>
      <c r="E29" s="26" t="n"/>
      <c r="F29" s="26" t="n"/>
      <c r="G29" s="26" t="inlineStr">
        <is>
          <t>Applied</t>
        </is>
      </c>
      <c r="H29" s="26" t="n"/>
      <c r="I29" s="26" t="n"/>
      <c r="J29" s="26" t="n"/>
    </row>
    <row r="30" ht="18" customHeight="1" s="52">
      <c r="A30" s="27" t="n"/>
      <c r="B30" s="27" t="n"/>
      <c r="C30" s="27" t="n"/>
      <c r="D30" s="27" t="n"/>
      <c r="E30" s="27" t="n"/>
      <c r="F30" s="27" t="n"/>
      <c r="G30" s="27" t="inlineStr">
        <is>
          <t>Applied</t>
        </is>
      </c>
      <c r="H30" s="27" t="n"/>
      <c r="I30" s="27" t="n"/>
      <c r="J30" s="27" t="n"/>
    </row>
    <row r="31" ht="18" customHeight="1" s="52">
      <c r="A31" s="26" t="n"/>
      <c r="B31" s="26" t="n"/>
      <c r="C31" s="26" t="n"/>
      <c r="D31" s="26" t="n"/>
      <c r="E31" s="26" t="n"/>
      <c r="F31" s="26" t="n"/>
      <c r="G31" s="26" t="inlineStr">
        <is>
          <t>Applied</t>
        </is>
      </c>
      <c r="H31" s="26" t="n"/>
      <c r="I31" s="26" t="n"/>
      <c r="J31" s="26" t="n"/>
    </row>
    <row r="32" ht="18" customHeight="1" s="52">
      <c r="A32" s="27" t="n"/>
      <c r="B32" s="27" t="n"/>
      <c r="C32" s="27" t="n"/>
      <c r="D32" s="27" t="n"/>
      <c r="E32" s="27" t="n"/>
      <c r="F32" s="27" t="n"/>
      <c r="G32" s="27" t="inlineStr">
        <is>
          <t>Applied</t>
        </is>
      </c>
      <c r="H32" s="27" t="n"/>
      <c r="I32" s="27" t="n"/>
      <c r="J32" s="27" t="n"/>
    </row>
    <row r="33" ht="18" customHeight="1" s="52">
      <c r="A33" s="26" t="n"/>
      <c r="B33" s="26" t="n"/>
      <c r="C33" s="26" t="n"/>
      <c r="D33" s="26" t="n"/>
      <c r="E33" s="26" t="n"/>
      <c r="F33" s="26" t="n"/>
      <c r="G33" s="26" t="inlineStr">
        <is>
          <t>Applied</t>
        </is>
      </c>
      <c r="H33" s="26" t="n"/>
      <c r="I33" s="26" t="n"/>
      <c r="J33" s="26" t="n"/>
    </row>
    <row r="34" ht="18" customHeight="1" s="52">
      <c r="A34" s="27" t="n"/>
      <c r="B34" s="27" t="n"/>
      <c r="C34" s="27" t="n"/>
      <c r="D34" s="27" t="n"/>
      <c r="E34" s="27" t="n"/>
      <c r="F34" s="27" t="n"/>
      <c r="G34" s="27" t="inlineStr">
        <is>
          <t>Applied</t>
        </is>
      </c>
      <c r="H34" s="27" t="n"/>
      <c r="I34" s="27" t="n"/>
      <c r="J34" s="27" t="n"/>
    </row>
    <row r="35" ht="18" customHeight="1" s="52">
      <c r="A35" s="26" t="n"/>
      <c r="B35" s="26" t="n"/>
      <c r="C35" s="26" t="n"/>
      <c r="D35" s="26" t="n"/>
      <c r="E35" s="26" t="n"/>
      <c r="F35" s="26" t="n"/>
      <c r="G35" s="26" t="inlineStr">
        <is>
          <t>Applied</t>
        </is>
      </c>
      <c r="H35" s="26" t="n"/>
      <c r="I35" s="26" t="n"/>
      <c r="J35" s="26" t="n"/>
    </row>
    <row r="36" ht="18" customHeight="1" s="52">
      <c r="A36" s="27" t="n"/>
      <c r="B36" s="27" t="n"/>
      <c r="C36" s="27" t="n"/>
      <c r="D36" s="27" t="n"/>
      <c r="E36" s="27" t="n"/>
      <c r="F36" s="27" t="n"/>
      <c r="G36" s="27" t="inlineStr">
        <is>
          <t>Applied</t>
        </is>
      </c>
      <c r="H36" s="27" t="n"/>
      <c r="I36" s="27" t="n"/>
      <c r="J36" s="27" t="n"/>
    </row>
    <row r="37" ht="18" customHeight="1" s="52">
      <c r="A37" s="26" t="n"/>
      <c r="B37" s="26" t="n"/>
      <c r="C37" s="26" t="n"/>
      <c r="D37" s="26" t="n"/>
      <c r="E37" s="26" t="n"/>
      <c r="F37" s="26" t="n"/>
      <c r="G37" s="26" t="inlineStr">
        <is>
          <t>Applied</t>
        </is>
      </c>
      <c r="H37" s="26" t="n"/>
      <c r="I37" s="26" t="n"/>
      <c r="J37" s="26" t="n"/>
    </row>
    <row r="38" ht="18" customHeight="1" s="52">
      <c r="A38" s="27" t="n"/>
      <c r="B38" s="27" t="n"/>
      <c r="C38" s="27" t="n"/>
      <c r="D38" s="27" t="n"/>
      <c r="E38" s="27" t="n"/>
      <c r="F38" s="27" t="n"/>
      <c r="G38" s="27" t="inlineStr">
        <is>
          <t>Applied</t>
        </is>
      </c>
      <c r="H38" s="27" t="n"/>
      <c r="I38" s="27" t="n"/>
      <c r="J38" s="27" t="n"/>
    </row>
    <row r="39" ht="18" customHeight="1" s="52">
      <c r="A39" s="26" t="n"/>
      <c r="B39" s="26" t="n"/>
      <c r="C39" s="26" t="n"/>
      <c r="D39" s="26" t="n"/>
      <c r="E39" s="26" t="n"/>
      <c r="F39" s="26" t="n"/>
      <c r="G39" s="26" t="inlineStr">
        <is>
          <t>Applied</t>
        </is>
      </c>
      <c r="H39" s="26" t="n"/>
      <c r="I39" s="26" t="n"/>
      <c r="J39" s="26" t="n"/>
    </row>
    <row r="40" ht="18" customHeight="1" s="52">
      <c r="A40" s="27" t="n"/>
      <c r="B40" s="27" t="n"/>
      <c r="C40" s="27" t="n"/>
      <c r="D40" s="27" t="n"/>
      <c r="E40" s="27" t="n"/>
      <c r="F40" s="27" t="n"/>
      <c r="G40" s="27" t="inlineStr">
        <is>
          <t>Applied</t>
        </is>
      </c>
      <c r="H40" s="27" t="n"/>
      <c r="I40" s="27" t="n"/>
      <c r="J40" s="27" t="n"/>
    </row>
    <row r="41" ht="18" customHeight="1" s="52">
      <c r="A41" s="26" t="n"/>
      <c r="B41" s="26" t="n"/>
      <c r="C41" s="26" t="n"/>
      <c r="D41" s="26" t="n"/>
      <c r="E41" s="26" t="n"/>
      <c r="F41" s="26" t="n"/>
      <c r="G41" s="26" t="inlineStr">
        <is>
          <t>Applied</t>
        </is>
      </c>
      <c r="H41" s="26" t="n"/>
      <c r="I41" s="26" t="n"/>
      <c r="J41" s="26" t="n"/>
    </row>
    <row r="42" ht="18" customHeight="1" s="52">
      <c r="A42" s="27" t="n"/>
      <c r="B42" s="27" t="n"/>
      <c r="C42" s="27" t="n"/>
      <c r="D42" s="27" t="n"/>
      <c r="E42" s="27" t="n"/>
      <c r="F42" s="27" t="n"/>
      <c r="G42" s="27" t="inlineStr">
        <is>
          <t>Applied</t>
        </is>
      </c>
      <c r="H42" s="27" t="n"/>
      <c r="I42" s="27" t="n"/>
      <c r="J42" s="27" t="n"/>
    </row>
    <row r="43" ht="18" customHeight="1" s="52">
      <c r="A43" s="26" t="n"/>
      <c r="B43" s="26" t="n"/>
      <c r="C43" s="26" t="n"/>
      <c r="D43" s="26" t="n"/>
      <c r="E43" s="26" t="n"/>
      <c r="F43" s="26" t="n"/>
      <c r="G43" s="26" t="inlineStr">
        <is>
          <t>Applied</t>
        </is>
      </c>
      <c r="H43" s="26" t="n"/>
      <c r="I43" s="26" t="n"/>
      <c r="J43" s="26" t="n"/>
    </row>
    <row r="44" ht="18" customHeight="1" s="52">
      <c r="A44" s="27" t="n"/>
      <c r="B44" s="27" t="n"/>
      <c r="C44" s="27" t="n"/>
      <c r="D44" s="27" t="n"/>
      <c r="E44" s="27" t="n"/>
      <c r="F44" s="27" t="n"/>
      <c r="G44" s="27" t="inlineStr">
        <is>
          <t>Applied</t>
        </is>
      </c>
      <c r="H44" s="27" t="n"/>
      <c r="I44" s="27" t="n"/>
      <c r="J44" s="27" t="n"/>
    </row>
    <row r="45" ht="18" customHeight="1" s="52">
      <c r="A45" s="26" t="n"/>
      <c r="B45" s="26" t="n"/>
      <c r="C45" s="26" t="n"/>
      <c r="D45" s="26" t="n"/>
      <c r="E45" s="26" t="n"/>
      <c r="F45" s="26" t="n"/>
      <c r="G45" s="26" t="inlineStr">
        <is>
          <t>Applied</t>
        </is>
      </c>
      <c r="H45" s="26" t="n"/>
      <c r="I45" s="26" t="n"/>
      <c r="J45" s="26" t="n"/>
    </row>
    <row r="46" ht="18" customHeight="1" s="52">
      <c r="A46" s="27" t="n"/>
      <c r="B46" s="27" t="n"/>
      <c r="C46" s="27" t="n"/>
      <c r="D46" s="27" t="n"/>
      <c r="E46" s="27" t="n"/>
      <c r="F46" s="27" t="n"/>
      <c r="G46" s="27" t="inlineStr">
        <is>
          <t>Applied</t>
        </is>
      </c>
      <c r="H46" s="27" t="n"/>
      <c r="I46" s="27" t="n"/>
      <c r="J46" s="27" t="n"/>
    </row>
    <row r="47" ht="18" customHeight="1" s="52">
      <c r="A47" s="26" t="n"/>
      <c r="B47" s="26" t="n"/>
      <c r="C47" s="26" t="n"/>
      <c r="D47" s="26" t="n"/>
      <c r="E47" s="26" t="n"/>
      <c r="F47" s="26" t="n"/>
      <c r="G47" s="26" t="inlineStr">
        <is>
          <t>Applied</t>
        </is>
      </c>
      <c r="H47" s="26" t="n"/>
      <c r="I47" s="26" t="n"/>
      <c r="J47" s="26" t="n"/>
    </row>
    <row r="48" ht="18" customHeight="1" s="52">
      <c r="A48" s="27" t="n"/>
      <c r="B48" s="27" t="n"/>
      <c r="C48" s="27" t="n"/>
      <c r="D48" s="27" t="n"/>
      <c r="E48" s="27" t="n"/>
      <c r="F48" s="27" t="n"/>
      <c r="G48" s="27" t="inlineStr">
        <is>
          <t>Applied</t>
        </is>
      </c>
      <c r="H48" s="27" t="n"/>
      <c r="I48" s="27" t="n"/>
      <c r="J48" s="27" t="n"/>
    </row>
    <row r="49" ht="18" customHeight="1" s="52">
      <c r="A49" s="26" t="n"/>
      <c r="B49" s="26" t="n"/>
      <c r="C49" s="26" t="n"/>
      <c r="D49" s="26" t="n"/>
      <c r="E49" s="26" t="n"/>
      <c r="F49" s="26" t="n"/>
      <c r="G49" s="26" t="inlineStr">
        <is>
          <t>Applied</t>
        </is>
      </c>
      <c r="H49" s="26" t="n"/>
      <c r="I49" s="26" t="n"/>
      <c r="J49" s="26" t="n"/>
    </row>
    <row r="50" ht="18" customHeight="1" s="52">
      <c r="A50" s="27" t="n"/>
      <c r="B50" s="27" t="n"/>
      <c r="C50" s="27" t="n"/>
      <c r="D50" s="27" t="n"/>
      <c r="E50" s="27" t="n"/>
      <c r="F50" s="27" t="n"/>
      <c r="G50" s="27" t="inlineStr">
        <is>
          <t>Applied</t>
        </is>
      </c>
      <c r="H50" s="27" t="n"/>
      <c r="I50" s="27" t="n"/>
      <c r="J50" s="27" t="n"/>
    </row>
    <row r="51" ht="18" customHeight="1" s="52">
      <c r="A51" s="26" t="n"/>
      <c r="B51" s="26" t="n"/>
      <c r="C51" s="26" t="n"/>
      <c r="D51" s="26" t="n"/>
      <c r="E51" s="26" t="n"/>
      <c r="F51" s="26" t="n"/>
      <c r="G51" s="26" t="inlineStr">
        <is>
          <t>Applied</t>
        </is>
      </c>
      <c r="H51" s="26" t="n"/>
      <c r="I51" s="26" t="n"/>
      <c r="J51" s="26" t="n"/>
    </row>
    <row r="52" ht="18" customHeight="1" s="52">
      <c r="A52" s="27" t="n"/>
      <c r="B52" s="27" t="n"/>
      <c r="C52" s="27" t="n"/>
      <c r="D52" s="27" t="n"/>
      <c r="E52" s="27" t="n"/>
      <c r="F52" s="27" t="n"/>
      <c r="G52" s="27" t="inlineStr">
        <is>
          <t>Applied</t>
        </is>
      </c>
      <c r="H52" s="27" t="n"/>
      <c r="I52" s="27" t="n"/>
      <c r="J52" s="27" t="n"/>
    </row>
    <row r="53" ht="18" customHeight="1" s="52">
      <c r="A53" s="26" t="n"/>
      <c r="B53" s="26" t="n"/>
      <c r="C53" s="26" t="n"/>
      <c r="D53" s="26" t="n"/>
      <c r="E53" s="26" t="n"/>
      <c r="F53" s="26" t="n"/>
      <c r="G53" s="26" t="inlineStr">
        <is>
          <t>Applied</t>
        </is>
      </c>
      <c r="H53" s="26" t="n"/>
      <c r="I53" s="26" t="n"/>
      <c r="J53" s="26" t="n"/>
    </row>
    <row r="54" ht="18" customHeight="1" s="52">
      <c r="A54" s="27" t="n"/>
      <c r="B54" s="27" t="n"/>
      <c r="C54" s="27" t="n"/>
      <c r="D54" s="27" t="n"/>
      <c r="E54" s="27" t="n"/>
      <c r="F54" s="27" t="n"/>
      <c r="G54" s="27" t="inlineStr">
        <is>
          <t>Applied</t>
        </is>
      </c>
      <c r="H54" s="27" t="n"/>
      <c r="I54" s="27" t="n"/>
      <c r="J54" s="27" t="n"/>
    </row>
    <row r="55" ht="18" customHeight="1" s="52">
      <c r="A55" s="26" t="n"/>
      <c r="B55" s="26" t="n"/>
      <c r="C55" s="26" t="n"/>
      <c r="D55" s="26" t="n"/>
      <c r="E55" s="26" t="n"/>
      <c r="F55" s="26" t="n"/>
      <c r="G55" s="26" t="inlineStr">
        <is>
          <t>Applied</t>
        </is>
      </c>
      <c r="H55" s="26" t="n"/>
      <c r="I55" s="26" t="n"/>
      <c r="J55" s="26" t="n"/>
    </row>
    <row r="56" ht="18" customHeight="1" s="52">
      <c r="A56" s="27" t="n"/>
      <c r="B56" s="27" t="n"/>
      <c r="C56" s="27" t="n"/>
      <c r="D56" s="27" t="n"/>
      <c r="E56" s="27" t="n"/>
      <c r="F56" s="27" t="n"/>
      <c r="G56" s="27" t="inlineStr">
        <is>
          <t>Applied</t>
        </is>
      </c>
      <c r="H56" s="27" t="n"/>
      <c r="I56" s="27" t="n"/>
      <c r="J56" s="27" t="n"/>
    </row>
    <row r="57" ht="18" customHeight="1" s="52">
      <c r="A57" s="26" t="n"/>
      <c r="B57" s="26" t="n"/>
      <c r="C57" s="26" t="n"/>
      <c r="D57" s="26" t="n"/>
      <c r="E57" s="26" t="n"/>
      <c r="F57" s="26" t="n"/>
      <c r="G57" s="26" t="inlineStr">
        <is>
          <t>Applied</t>
        </is>
      </c>
      <c r="H57" s="26" t="n"/>
      <c r="I57" s="26" t="n"/>
      <c r="J57" s="26" t="n"/>
    </row>
    <row r="58" ht="18" customHeight="1" s="52">
      <c r="A58" s="27" t="n"/>
      <c r="B58" s="27" t="n"/>
      <c r="C58" s="27" t="n"/>
      <c r="D58" s="27" t="n"/>
      <c r="E58" s="27" t="n"/>
      <c r="F58" s="27" t="n"/>
      <c r="G58" s="27" t="inlineStr">
        <is>
          <t>Applied</t>
        </is>
      </c>
      <c r="H58" s="27" t="n"/>
      <c r="I58" s="27" t="n"/>
      <c r="J58" s="27" t="n"/>
    </row>
    <row r="59" ht="18" customHeight="1" s="52">
      <c r="A59" s="26" t="n"/>
      <c r="B59" s="26" t="n"/>
      <c r="C59" s="26" t="n"/>
      <c r="D59" s="26" t="n"/>
      <c r="E59" s="26" t="n"/>
      <c r="F59" s="26" t="n"/>
      <c r="G59" s="26" t="inlineStr">
        <is>
          <t>Applied</t>
        </is>
      </c>
      <c r="H59" s="26" t="n"/>
      <c r="I59" s="26" t="n"/>
      <c r="J59" s="26" t="n"/>
    </row>
    <row r="60" ht="18" customHeight="1" s="52">
      <c r="A60" s="27" t="n"/>
      <c r="B60" s="27" t="n"/>
      <c r="C60" s="27" t="n"/>
      <c r="D60" s="27" t="n"/>
      <c r="E60" s="27" t="n"/>
      <c r="F60" s="27" t="n"/>
      <c r="G60" s="27" t="inlineStr">
        <is>
          <t>Applied</t>
        </is>
      </c>
      <c r="H60" s="27" t="n"/>
      <c r="I60" s="27" t="n"/>
      <c r="J60" s="27" t="n"/>
    </row>
    <row r="61" ht="18" customHeight="1" s="52">
      <c r="A61" s="26" t="n"/>
      <c r="B61" s="26" t="n"/>
      <c r="C61" s="26" t="n"/>
      <c r="D61" s="26" t="n"/>
      <c r="E61" s="26" t="n"/>
      <c r="F61" s="26" t="n"/>
      <c r="G61" s="26" t="inlineStr">
        <is>
          <t>Applied</t>
        </is>
      </c>
      <c r="H61" s="26" t="n"/>
      <c r="I61" s="26" t="n"/>
      <c r="J61" s="26" t="n"/>
    </row>
    <row r="62" ht="18" customHeight="1" s="52">
      <c r="A62" s="27" t="n"/>
      <c r="B62" s="27" t="n"/>
      <c r="C62" s="27" t="n"/>
      <c r="D62" s="27" t="n"/>
      <c r="E62" s="27" t="n"/>
      <c r="F62" s="27" t="n"/>
      <c r="G62" s="27" t="inlineStr">
        <is>
          <t>Applied</t>
        </is>
      </c>
      <c r="H62" s="27" t="n"/>
      <c r="I62" s="27" t="n"/>
      <c r="J62" s="27" t="n"/>
    </row>
    <row r="63" ht="18" customHeight="1" s="52">
      <c r="A63" s="26" t="n"/>
      <c r="B63" s="26" t="n"/>
      <c r="C63" s="26" t="n"/>
      <c r="D63" s="26" t="n"/>
      <c r="E63" s="26" t="n"/>
      <c r="F63" s="26" t="n"/>
      <c r="G63" s="26" t="inlineStr">
        <is>
          <t>Applied</t>
        </is>
      </c>
      <c r="H63" s="26" t="n"/>
      <c r="I63" s="26" t="n"/>
      <c r="J63" s="26" t="n"/>
    </row>
    <row r="64" ht="18" customHeight="1" s="52">
      <c r="A64" s="27" t="n"/>
      <c r="B64" s="27" t="n"/>
      <c r="C64" s="27" t="n"/>
      <c r="D64" s="27" t="n"/>
      <c r="E64" s="27" t="n"/>
      <c r="F64" s="27" t="n"/>
      <c r="G64" s="27" t="inlineStr">
        <is>
          <t>Applied</t>
        </is>
      </c>
      <c r="H64" s="27" t="n"/>
      <c r="I64" s="27" t="n"/>
      <c r="J64" s="27" t="n"/>
    </row>
    <row r="65" ht="18" customHeight="1" s="52">
      <c r="A65" s="26" t="n"/>
      <c r="B65" s="26" t="n"/>
      <c r="C65" s="26" t="n"/>
      <c r="D65" s="26" t="n"/>
      <c r="E65" s="26" t="n"/>
      <c r="F65" s="26" t="n"/>
      <c r="G65" s="26" t="inlineStr">
        <is>
          <t>Applied</t>
        </is>
      </c>
      <c r="H65" s="26" t="n"/>
      <c r="I65" s="26" t="n"/>
      <c r="J65" s="26" t="n"/>
    </row>
    <row r="66" ht="18" customHeight="1" s="52">
      <c r="A66" s="27" t="n"/>
      <c r="B66" s="27" t="n"/>
      <c r="C66" s="27" t="n"/>
      <c r="D66" s="27" t="n"/>
      <c r="E66" s="27" t="n"/>
      <c r="F66" s="27" t="n"/>
      <c r="G66" s="27" t="inlineStr">
        <is>
          <t>Applied</t>
        </is>
      </c>
      <c r="H66" s="27" t="n"/>
      <c r="I66" s="27" t="n"/>
      <c r="J66" s="27" t="n"/>
    </row>
    <row r="67" ht="18" customHeight="1" s="52">
      <c r="A67" s="26" t="n"/>
      <c r="B67" s="26" t="n"/>
      <c r="C67" s="26" t="n"/>
      <c r="D67" s="26" t="n"/>
      <c r="E67" s="26" t="n"/>
      <c r="F67" s="26" t="n"/>
      <c r="G67" s="26" t="inlineStr">
        <is>
          <t>Applied</t>
        </is>
      </c>
      <c r="H67" s="26" t="n"/>
      <c r="I67" s="26" t="n"/>
      <c r="J67" s="26" t="n"/>
    </row>
    <row r="68" ht="18" customHeight="1" s="52">
      <c r="A68" s="27" t="n"/>
      <c r="B68" s="27" t="n"/>
      <c r="C68" s="27" t="n"/>
      <c r="D68" s="27" t="n"/>
      <c r="E68" s="27" t="n"/>
      <c r="F68" s="27" t="n"/>
      <c r="G68" s="27" t="inlineStr">
        <is>
          <t>Applied</t>
        </is>
      </c>
      <c r="H68" s="27" t="n"/>
      <c r="I68" s="27" t="n"/>
      <c r="J68" s="27" t="n"/>
    </row>
    <row r="69" ht="18" customHeight="1" s="52">
      <c r="A69" s="26" t="n"/>
      <c r="B69" s="26" t="n"/>
      <c r="C69" s="26" t="n"/>
      <c r="D69" s="26" t="n"/>
      <c r="E69" s="26" t="n"/>
      <c r="F69" s="26" t="n"/>
      <c r="G69" s="26" t="inlineStr">
        <is>
          <t>Applied</t>
        </is>
      </c>
      <c r="H69" s="26" t="n"/>
      <c r="I69" s="26" t="n"/>
      <c r="J69" s="26" t="n"/>
    </row>
    <row r="70" ht="18" customHeight="1" s="52">
      <c r="A70" s="27" t="n"/>
      <c r="B70" s="27" t="n"/>
      <c r="C70" s="27" t="n"/>
      <c r="D70" s="27" t="n"/>
      <c r="E70" s="27" t="n"/>
      <c r="F70" s="27" t="n"/>
      <c r="G70" s="27" t="inlineStr">
        <is>
          <t>Applied</t>
        </is>
      </c>
      <c r="H70" s="27" t="n"/>
      <c r="I70" s="27" t="n"/>
      <c r="J70" s="27" t="n"/>
    </row>
    <row r="71" ht="18" customHeight="1" s="52">
      <c r="A71" s="26" t="n"/>
      <c r="B71" s="26" t="n"/>
      <c r="C71" s="26" t="n"/>
      <c r="D71" s="26" t="n"/>
      <c r="E71" s="26" t="n"/>
      <c r="F71" s="26" t="n"/>
      <c r="G71" s="26" t="inlineStr">
        <is>
          <t>Applied</t>
        </is>
      </c>
      <c r="H71" s="26" t="n"/>
      <c r="I71" s="26" t="n"/>
      <c r="J71" s="26" t="n"/>
    </row>
    <row r="72" ht="18" customHeight="1" s="52">
      <c r="A72" s="27" t="n"/>
      <c r="B72" s="27" t="n"/>
      <c r="C72" s="27" t="n"/>
      <c r="D72" s="27" t="n"/>
      <c r="E72" s="27" t="n"/>
      <c r="F72" s="27" t="n"/>
      <c r="G72" s="27" t="inlineStr">
        <is>
          <t>Applied</t>
        </is>
      </c>
      <c r="H72" s="27" t="n"/>
      <c r="I72" s="27" t="n"/>
      <c r="J72" s="27" t="n"/>
    </row>
    <row r="73" ht="18" customHeight="1" s="52">
      <c r="A73" s="26" t="n"/>
      <c r="B73" s="26" t="n"/>
      <c r="C73" s="26" t="n"/>
      <c r="D73" s="26" t="n"/>
      <c r="E73" s="26" t="n"/>
      <c r="F73" s="26" t="n"/>
      <c r="G73" s="26" t="inlineStr">
        <is>
          <t>Applied</t>
        </is>
      </c>
      <c r="H73" s="26" t="n"/>
      <c r="I73" s="26" t="n"/>
      <c r="J73" s="26" t="n"/>
    </row>
    <row r="74" ht="18" customHeight="1" s="52">
      <c r="A74" s="27" t="n"/>
      <c r="B74" s="27" t="n"/>
      <c r="C74" s="27" t="n"/>
      <c r="D74" s="27" t="n"/>
      <c r="E74" s="27" t="n"/>
      <c r="F74" s="27" t="n"/>
      <c r="G74" s="27" t="inlineStr">
        <is>
          <t>Applied</t>
        </is>
      </c>
      <c r="H74" s="27" t="n"/>
      <c r="I74" s="27" t="n"/>
      <c r="J74" s="27" t="n"/>
    </row>
    <row r="75" ht="18" customHeight="1" s="52">
      <c r="A75" s="26" t="n"/>
      <c r="B75" s="26" t="n"/>
      <c r="C75" s="26" t="n"/>
      <c r="D75" s="26" t="n"/>
      <c r="E75" s="26" t="n"/>
      <c r="F75" s="26" t="n"/>
      <c r="G75" s="26" t="inlineStr">
        <is>
          <t>Applied</t>
        </is>
      </c>
      <c r="H75" s="26" t="n"/>
      <c r="I75" s="26" t="n"/>
      <c r="J75" s="26" t="n"/>
    </row>
    <row r="76" ht="18" customHeight="1" s="52">
      <c r="A76" s="27" t="n"/>
      <c r="B76" s="27" t="n"/>
      <c r="C76" s="27" t="n"/>
      <c r="D76" s="27" t="n"/>
      <c r="E76" s="27" t="n"/>
      <c r="F76" s="27" t="n"/>
      <c r="G76" s="27" t="inlineStr">
        <is>
          <t>Applied</t>
        </is>
      </c>
      <c r="H76" s="27" t="n"/>
      <c r="I76" s="27" t="n"/>
      <c r="J76" s="27" t="n"/>
    </row>
    <row r="77" ht="18" customHeight="1" s="52">
      <c r="A77" s="26" t="n"/>
      <c r="B77" s="26" t="n"/>
      <c r="C77" s="26" t="n"/>
      <c r="D77" s="26" t="n"/>
      <c r="E77" s="26" t="n"/>
      <c r="F77" s="26" t="n"/>
      <c r="G77" s="26" t="inlineStr">
        <is>
          <t>Applied</t>
        </is>
      </c>
      <c r="H77" s="26" t="n"/>
      <c r="I77" s="26" t="n"/>
      <c r="J77" s="26" t="n"/>
    </row>
    <row r="78" ht="18" customHeight="1" s="52">
      <c r="A78" s="27" t="n"/>
      <c r="B78" s="27" t="n"/>
      <c r="C78" s="27" t="n"/>
      <c r="D78" s="27" t="n"/>
      <c r="E78" s="27" t="n"/>
      <c r="F78" s="27" t="n"/>
      <c r="G78" s="27" t="inlineStr">
        <is>
          <t>Applied</t>
        </is>
      </c>
      <c r="H78" s="27" t="n"/>
      <c r="I78" s="27" t="n"/>
      <c r="J78" s="27" t="n"/>
    </row>
    <row r="79" ht="18" customHeight="1" s="52">
      <c r="A79" s="26" t="n"/>
      <c r="B79" s="26" t="n"/>
      <c r="C79" s="26" t="n"/>
      <c r="D79" s="26" t="n"/>
      <c r="E79" s="26" t="n"/>
      <c r="F79" s="26" t="n"/>
      <c r="G79" s="26" t="inlineStr">
        <is>
          <t>Applied</t>
        </is>
      </c>
      <c r="H79" s="26" t="n"/>
      <c r="I79" s="26" t="n"/>
      <c r="J79" s="26" t="n"/>
    </row>
    <row r="80" ht="18" customHeight="1" s="52">
      <c r="A80" s="27" t="n"/>
      <c r="B80" s="27" t="n"/>
      <c r="C80" s="27" t="n"/>
      <c r="D80" s="27" t="n"/>
      <c r="E80" s="27" t="n"/>
      <c r="F80" s="27" t="n"/>
      <c r="G80" s="27" t="inlineStr">
        <is>
          <t>Applied</t>
        </is>
      </c>
      <c r="H80" s="27" t="n"/>
      <c r="I80" s="27" t="n"/>
      <c r="J80" s="27" t="n"/>
    </row>
    <row r="81" ht="18" customHeight="1" s="52">
      <c r="A81" s="26" t="n"/>
      <c r="B81" s="26" t="n"/>
      <c r="C81" s="26" t="n"/>
      <c r="D81" s="26" t="n"/>
      <c r="E81" s="26" t="n"/>
      <c r="F81" s="26" t="n"/>
      <c r="G81" s="26" t="inlineStr">
        <is>
          <t>Applied</t>
        </is>
      </c>
      <c r="H81" s="26" t="n"/>
      <c r="I81" s="26" t="n"/>
      <c r="J81" s="26" t="n"/>
    </row>
    <row r="82" ht="18" customHeight="1" s="52">
      <c r="A82" s="27" t="n"/>
      <c r="B82" s="27" t="n"/>
      <c r="C82" s="27" t="n"/>
      <c r="D82" s="27" t="n"/>
      <c r="E82" s="27" t="n"/>
      <c r="F82" s="27" t="n"/>
      <c r="G82" s="27" t="inlineStr">
        <is>
          <t>Applied</t>
        </is>
      </c>
      <c r="H82" s="27" t="n"/>
      <c r="I82" s="27" t="n"/>
      <c r="J82" s="27" t="n"/>
    </row>
    <row r="85">
      <c r="A85" s="69" t="inlineStr">
        <is>
          <t>🎯 TARGET COMPANIES QUICK-LIST (apply from Week 1 — do not wait until Week 16)</t>
        </is>
      </c>
    </row>
    <row r="86">
      <c r="A86" t="inlineStr">
        <is>
          <t>Priority</t>
        </is>
      </c>
      <c r="B86" t="inlineStr">
        <is>
          <t>Company</t>
        </is>
      </c>
      <c r="C86" t="inlineStr">
        <is>
          <t>Role to Target</t>
        </is>
      </c>
      <c r="D86" t="inlineStr">
        <is>
          <t>Location</t>
        </is>
      </c>
      <c r="E86" t="inlineStr">
        <is>
          <t>Package Range</t>
        </is>
      </c>
      <c r="F86" t="inlineStr">
        <is>
          <t>Source</t>
        </is>
      </c>
      <c r="G86" t="inlineStr">
        <is>
          <t>Status</t>
        </is>
      </c>
    </row>
    <row r="87">
      <c r="A87" t="inlineStr">
        <is>
          <t>🔴 Tier 1</t>
        </is>
      </c>
      <c r="B87" t="inlineStr">
        <is>
          <t>Amazon India</t>
        </is>
      </c>
      <c r="C87" t="inlineStr">
        <is>
          <t>DevOps/SRE Engineer</t>
        </is>
      </c>
      <c r="D87" t="inlineStr">
        <is>
          <t>Chennai/Hyd/Remote</t>
        </is>
      </c>
      <c r="E87" t="inlineStr">
        <is>
          <t>₹30-60L</t>
        </is>
      </c>
      <c r="F87" t="inlineStr">
        <is>
          <t>amazon.jobs</t>
        </is>
      </c>
      <c r="G87" t="inlineStr"/>
    </row>
    <row r="88">
      <c r="A88" t="inlineStr">
        <is>
          <t>🔴 Tier 1</t>
        </is>
      </c>
      <c r="B88" t="inlineStr">
        <is>
          <t>Google India</t>
        </is>
      </c>
      <c r="C88" t="inlineStr">
        <is>
          <t>Site Reliability Engineer</t>
        </is>
      </c>
      <c r="D88" t="inlineStr">
        <is>
          <t>Hyd/Bangalore/Remote</t>
        </is>
      </c>
      <c r="E88" t="inlineStr">
        <is>
          <t>₹35-70L</t>
        </is>
      </c>
      <c r="F88" t="inlineStr">
        <is>
          <t>careers.google.com</t>
        </is>
      </c>
      <c r="G88" t="inlineStr"/>
    </row>
    <row r="89">
      <c r="A89" t="inlineStr">
        <is>
          <t>🔴 Tier 1</t>
        </is>
      </c>
      <c r="B89" t="inlineStr">
        <is>
          <t>Microsoft India</t>
        </is>
      </c>
      <c r="C89" t="inlineStr">
        <is>
          <t>Senior DevOps Engineer</t>
        </is>
      </c>
      <c r="D89" t="inlineStr">
        <is>
          <t>Hyd/Bangalore/Remote</t>
        </is>
      </c>
      <c r="E89" t="inlineStr">
        <is>
          <t>₹30-60L</t>
        </is>
      </c>
      <c r="F89" t="inlineStr">
        <is>
          <t>careers.microsoft.com</t>
        </is>
      </c>
      <c r="G89" t="inlineStr"/>
    </row>
    <row r="90">
      <c r="A90" t="inlineStr">
        <is>
          <t>🔴 Tier 1</t>
        </is>
      </c>
      <c r="B90" t="inlineStr">
        <is>
          <t>Freshworks</t>
        </is>
      </c>
      <c r="C90" t="inlineStr">
        <is>
          <t>DevOps/Platform Engineer</t>
        </is>
      </c>
      <c r="D90" t="inlineStr">
        <is>
          <t>Chennai</t>
        </is>
      </c>
      <c r="E90" t="inlineStr">
        <is>
          <t>₹25-45L</t>
        </is>
      </c>
      <c r="F90" t="inlineStr">
        <is>
          <t>freshworks.com/jobs</t>
        </is>
      </c>
      <c r="G90" t="inlineStr"/>
    </row>
    <row r="91">
      <c r="A91" t="inlineStr">
        <is>
          <t>🔴 Tier 1</t>
        </is>
      </c>
      <c r="B91" t="inlineStr">
        <is>
          <t>Zoho Corporation</t>
        </is>
      </c>
      <c r="C91" t="inlineStr">
        <is>
          <t>DevOps Engineer</t>
        </is>
      </c>
      <c r="D91" t="inlineStr">
        <is>
          <t>Chennai</t>
        </is>
      </c>
      <c r="E91" t="inlineStr">
        <is>
          <t>₹18-35L</t>
        </is>
      </c>
      <c r="F91" t="inlineStr">
        <is>
          <t>zoho.com/careers</t>
        </is>
      </c>
      <c r="G91" t="inlineStr"/>
    </row>
    <row r="92">
      <c r="A92" t="inlineStr">
        <is>
          <t>🟡 Tier 2</t>
        </is>
      </c>
      <c r="B92" t="inlineStr">
        <is>
          <t>PayPal India</t>
        </is>
      </c>
      <c r="C92" t="inlineStr">
        <is>
          <t>DevOps Engineer</t>
        </is>
      </c>
      <c r="D92" t="inlineStr">
        <is>
          <t>Chennai</t>
        </is>
      </c>
      <c r="E92" t="inlineStr">
        <is>
          <t>₹25-45L</t>
        </is>
      </c>
      <c r="F92" t="inlineStr">
        <is>
          <t>LinkedIn / PayPal careers</t>
        </is>
      </c>
      <c r="G92" t="inlineStr"/>
    </row>
    <row r="93">
      <c r="A93" t="inlineStr">
        <is>
          <t>🟡 Tier 2</t>
        </is>
      </c>
      <c r="B93" t="inlineStr">
        <is>
          <t>Standard Chartered GBS</t>
        </is>
      </c>
      <c r="C93" t="inlineStr">
        <is>
          <t>Cloud DevOps Engineer</t>
        </is>
      </c>
      <c r="D93" t="inlineStr">
        <is>
          <t>Chennai</t>
        </is>
      </c>
      <c r="E93" t="inlineStr">
        <is>
          <t>₹22-40L</t>
        </is>
      </c>
      <c r="F93" t="inlineStr">
        <is>
          <t>LinkedIn</t>
        </is>
      </c>
      <c r="G93" t="inlineStr"/>
    </row>
    <row r="94">
      <c r="A94" t="inlineStr">
        <is>
          <t>🟡 Tier 2</t>
        </is>
      </c>
      <c r="B94" t="inlineStr">
        <is>
          <t>Citibank Technology</t>
        </is>
      </c>
      <c r="C94" t="inlineStr">
        <is>
          <t>Linux/DevOps Engineer</t>
        </is>
      </c>
      <c r="D94" t="inlineStr">
        <is>
          <t>Chennai</t>
        </is>
      </c>
      <c r="E94" t="inlineStr">
        <is>
          <t>₹25-45L</t>
        </is>
      </c>
      <c r="F94" t="inlineStr">
        <is>
          <t>LinkedIn / Citi careers</t>
        </is>
      </c>
      <c r="G94" t="inlineStr"/>
    </row>
    <row r="95">
      <c r="A95" t="inlineStr">
        <is>
          <t>🟡 Tier 2</t>
        </is>
      </c>
      <c r="B95" t="inlineStr">
        <is>
          <t>Razorpay</t>
        </is>
      </c>
      <c r="C95" t="inlineStr">
        <is>
          <t>DevOps/Platform Engineer</t>
        </is>
      </c>
      <c r="D95" t="inlineStr">
        <is>
          <t>Bangalore/Remote</t>
        </is>
      </c>
      <c r="E95" t="inlineStr">
        <is>
          <t>₹30-55L</t>
        </is>
      </c>
      <c r="F95" t="inlineStr">
        <is>
          <t>LinkedIn</t>
        </is>
      </c>
      <c r="G95" t="inlineStr"/>
    </row>
    <row r="96">
      <c r="A96" t="inlineStr">
        <is>
          <t>🟡 Tier 2</t>
        </is>
      </c>
      <c r="B96" t="inlineStr">
        <is>
          <t>CRED</t>
        </is>
      </c>
      <c r="C96" t="inlineStr">
        <is>
          <t>Infrastructure Engineer</t>
        </is>
      </c>
      <c r="D96" t="inlineStr">
        <is>
          <t>Bangalore/Remote</t>
        </is>
      </c>
      <c r="E96" t="inlineStr">
        <is>
          <t>₹28-50L</t>
        </is>
      </c>
      <c r="F96" t="inlineStr">
        <is>
          <t>LinkedIn</t>
        </is>
      </c>
      <c r="G96" t="inlineStr"/>
    </row>
    <row r="97">
      <c r="A97" t="inlineStr">
        <is>
          <t>🟡 Tier 2</t>
        </is>
      </c>
      <c r="B97" t="inlineStr">
        <is>
          <t>Meesho</t>
        </is>
      </c>
      <c r="C97" t="inlineStr">
        <is>
          <t>DevOps/SRE Engineer</t>
        </is>
      </c>
      <c r="D97" t="inlineStr">
        <is>
          <t>Bangalore/Remote</t>
        </is>
      </c>
      <c r="E97" t="inlineStr">
        <is>
          <t>₹28-50L</t>
        </is>
      </c>
      <c r="F97" t="inlineStr">
        <is>
          <t>LinkedIn</t>
        </is>
      </c>
      <c r="G97" t="inlineStr"/>
    </row>
    <row r="98">
      <c r="A98" t="inlineStr">
        <is>
          <t>🟡 Tier 2</t>
        </is>
      </c>
      <c r="B98" t="inlineStr">
        <is>
          <t>Flipkart</t>
        </is>
      </c>
      <c r="C98" t="inlineStr">
        <is>
          <t>SRE/DevOps Engineer</t>
        </is>
      </c>
      <c r="D98" t="inlineStr">
        <is>
          <t>Bangalore/Remote</t>
        </is>
      </c>
      <c r="E98" t="inlineStr">
        <is>
          <t>₹28-55L</t>
        </is>
      </c>
      <c r="F98" t="inlineStr">
        <is>
          <t>LinkedIn</t>
        </is>
      </c>
      <c r="G98" t="inlineStr"/>
    </row>
    <row r="99">
      <c r="A99" t="inlineStr">
        <is>
          <t>🟢 Tier 3</t>
        </is>
      </c>
      <c r="B99" t="inlineStr">
        <is>
          <t>Cognizant</t>
        </is>
      </c>
      <c r="C99" t="inlineStr">
        <is>
          <t>AWS DevOps Engineer</t>
        </is>
      </c>
      <c r="D99" t="inlineStr">
        <is>
          <t>Chennai</t>
        </is>
      </c>
      <c r="E99" t="inlineStr">
        <is>
          <t>₹15-28L</t>
        </is>
      </c>
      <c r="F99" t="inlineStr">
        <is>
          <t>Naukri / LinkedIn</t>
        </is>
      </c>
      <c r="G99" t="inlineStr"/>
    </row>
    <row r="100">
      <c r="A100" t="inlineStr">
        <is>
          <t>🟢 Tier 3</t>
        </is>
      </c>
      <c r="B100" t="inlineStr">
        <is>
          <t>HCL Technologies</t>
        </is>
      </c>
      <c r="C100" t="inlineStr">
        <is>
          <t>Linux/DevOps Admin</t>
        </is>
      </c>
      <c r="D100" t="inlineStr">
        <is>
          <t>Chennai</t>
        </is>
      </c>
      <c r="E100" t="inlineStr">
        <is>
          <t>₹14-26L</t>
        </is>
      </c>
      <c r="F100" t="inlineStr">
        <is>
          <t>Naukri / HCL careers</t>
        </is>
      </c>
      <c r="G100" t="inlineStr"/>
    </row>
    <row r="101">
      <c r="A101" t="inlineStr">
        <is>
          <t>🟢 Tier 3</t>
        </is>
      </c>
      <c r="B101" t="inlineStr">
        <is>
          <t>Hexaware Technologies</t>
        </is>
      </c>
      <c r="C101" t="inlineStr">
        <is>
          <t>Cloud DevOps Engineer</t>
        </is>
      </c>
      <c r="D101" t="inlineStr">
        <is>
          <t>Chennai</t>
        </is>
      </c>
      <c r="E101" t="inlineStr">
        <is>
          <t>₹15-26L</t>
        </is>
      </c>
      <c r="F101" t="inlineStr">
        <is>
          <t>Naukri / LinkedIn</t>
        </is>
      </c>
      <c r="G101" t="inlineStr"/>
    </row>
    <row r="102">
      <c r="A102" t="inlineStr">
        <is>
          <t>🟢 Tier 3</t>
        </is>
      </c>
      <c r="B102" t="inlineStr">
        <is>
          <t>DXC Technology</t>
        </is>
      </c>
      <c r="C102" t="inlineStr">
        <is>
          <t>DevOps/Linux Engineer</t>
        </is>
      </c>
      <c r="D102" t="inlineStr">
        <is>
          <t>Chennai/Remote</t>
        </is>
      </c>
      <c r="E102" t="inlineStr">
        <is>
          <t>₹15-28L</t>
        </is>
      </c>
      <c r="F102" t="inlineStr">
        <is>
          <t>DXC careers</t>
        </is>
      </c>
      <c r="G102" t="inlineStr"/>
    </row>
    <row r="103">
      <c r="A103" t="inlineStr">
        <is>
          <t>🟢 Tier 3</t>
        </is>
      </c>
      <c r="B103" t="inlineStr">
        <is>
          <t>Capgemini India</t>
        </is>
      </c>
      <c r="C103" t="inlineStr">
        <is>
          <t>AWS DevOps Engineer</t>
        </is>
      </c>
      <c r="D103" t="inlineStr">
        <is>
          <t>Chennai</t>
        </is>
      </c>
      <c r="E103" t="inlineStr">
        <is>
          <t>₹15-28L</t>
        </is>
      </c>
      <c r="F103" t="inlineStr">
        <is>
          <t>Naukri / Capgemini</t>
        </is>
      </c>
      <c r="G103" t="inlineStr"/>
    </row>
    <row r="104">
      <c r="A104" t="inlineStr">
        <is>
          <t>🟢 Tier 3</t>
        </is>
      </c>
      <c r="B104" t="inlineStr">
        <is>
          <t>Wipro (AWS/DevOps BU)</t>
        </is>
      </c>
      <c r="C104" t="inlineStr">
        <is>
          <t>AWS DevOps Engineer</t>
        </is>
      </c>
      <c r="D104" t="inlineStr">
        <is>
          <t>Chennai</t>
        </is>
      </c>
      <c r="E104" t="inlineStr">
        <is>
          <t>₹14-24L</t>
        </is>
      </c>
      <c r="F104" t="inlineStr">
        <is>
          <t>Wipro careers / Naukri</t>
        </is>
      </c>
      <c r="G104" t="inlineStr"/>
    </row>
    <row r="105">
      <c r="A105" t="inlineStr">
        <is>
          <t>🟢 Tier 3</t>
        </is>
      </c>
      <c r="B105" t="inlineStr">
        <is>
          <t>Infosys (Cloud BU)</t>
        </is>
      </c>
      <c r="C105" t="inlineStr">
        <is>
          <t>Cloud DevOps Specialist</t>
        </is>
      </c>
      <c r="D105" t="inlineStr">
        <is>
          <t>Chennai</t>
        </is>
      </c>
      <c r="E105" t="inlineStr">
        <is>
          <t>₹14-25L</t>
        </is>
      </c>
      <c r="F105" t="inlineStr">
        <is>
          <t>InfyTQ / LinkedIn</t>
        </is>
      </c>
      <c r="G105" t="inlineStr"/>
    </row>
    <row r="106">
      <c r="A106" t="inlineStr">
        <is>
          <t>🟢 Tier 3</t>
        </is>
      </c>
      <c r="B106" t="inlineStr">
        <is>
          <t>TCS (Digital/Cloud)</t>
        </is>
      </c>
      <c r="C106" t="inlineStr">
        <is>
          <t>DevOps Specialist</t>
        </is>
      </c>
      <c r="D106" t="inlineStr">
        <is>
          <t>Chennai</t>
        </is>
      </c>
      <c r="E106" t="inlineStr">
        <is>
          <t>₹14-25L</t>
        </is>
      </c>
      <c r="F106" t="inlineStr">
        <is>
          <t>TCS NextStep</t>
        </is>
      </c>
      <c r="G106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5A623"/>
    <outlinePr summaryBelow="1" summaryRight="1"/>
    <pageSetUpPr/>
  </sheetPr>
  <dimension ref="A1:D45"/>
  <sheetViews>
    <sheetView topLeftCell="A13" workbookViewId="0">
      <selection activeCell="F6" sqref="F6"/>
    </sheetView>
  </sheetViews>
  <sheetFormatPr baseColWidth="8" defaultRowHeight="15"/>
  <cols>
    <col width="32" customWidth="1" style="52" min="1" max="1"/>
    <col width="22" customWidth="1" style="52" min="2" max="2"/>
    <col width="60" customWidth="1" style="52" min="3" max="3"/>
    <col width="20" customWidth="1" style="52" min="4" max="4"/>
  </cols>
  <sheetData>
    <row r="1" ht="36" customHeight="1" s="52">
      <c r="A1" s="61" t="inlineStr">
        <is>
          <t>💰  SALARY NEGOTIATION &amp; TARGET PACKAGE GUIDE</t>
        </is>
      </c>
    </row>
    <row r="2" ht="25.5" customHeight="1" s="52">
      <c r="A2" s="32" t="inlineStr">
        <is>
          <t>MARKET RATES (India, 2026 Estimate)</t>
        </is>
      </c>
      <c r="B2" s="32" t="n"/>
      <c r="C2" s="32" t="n"/>
      <c r="D2" s="32" t="n"/>
    </row>
    <row r="3">
      <c r="A3" s="33" t="inlineStr">
        <is>
          <t>Role</t>
        </is>
      </c>
      <c r="B3" s="33" t="inlineStr">
        <is>
          <t>Experience</t>
        </is>
      </c>
      <c r="C3" s="33" t="inlineStr">
        <is>
          <t>Expected CTC Range</t>
        </is>
      </c>
      <c r="D3" s="33" t="inlineStr">
        <is>
          <t>Notes</t>
        </is>
      </c>
    </row>
    <row r="4" ht="38.25" customHeight="1" s="52">
      <c r="A4" s="34" t="inlineStr">
        <is>
          <t>AWS DevOps Engineer (Linux + K8s + IaC)</t>
        </is>
      </c>
      <c r="B4" s="34" t="inlineStr">
        <is>
          <t>3-5 Years (YOUR ZONE)</t>
        </is>
      </c>
      <c r="C4" s="34" t="inlineStr">
        <is>
          <t>₹20-38 LPA</t>
        </is>
      </c>
      <c r="D4" s="34" t="inlineStr">
        <is>
          <t>Chennai MNCs: ₹20-30L; Product cos / FAANG: ₹30-50L+ with ESOPs</t>
        </is>
      </c>
    </row>
    <row r="5" ht="38.25" customHeight="1" s="52">
      <c r="A5" s="35" t="inlineStr">
        <is>
          <t>Senior AWS DevOps Engineer</t>
        </is>
      </c>
      <c r="B5" s="35" t="inlineStr">
        <is>
          <t>5-8 Years</t>
        </is>
      </c>
      <c r="C5" s="35" t="inlineStr">
        <is>
          <t>₹38-65 LPA</t>
        </is>
      </c>
      <c r="D5" s="35" t="inlineStr">
        <is>
          <t>Needs EKS + IaC + GitOps + DevSecOps; strong GitHub portfolio</t>
        </is>
      </c>
    </row>
    <row r="6" ht="38.25" customHeight="1" s="52">
      <c r="A6" s="34" t="inlineStr">
        <is>
          <t>Lead / Principal DevOps</t>
        </is>
      </c>
      <c r="B6" s="34" t="inlineStr">
        <is>
          <t>8-12 Years</t>
        </is>
      </c>
      <c r="C6" s="34" t="inlineStr">
        <is>
          <t>₹60-100 LPA</t>
        </is>
      </c>
      <c r="D6" s="34" t="inlineStr">
        <is>
          <t>Architecture + team lead; not your target yet</t>
        </is>
      </c>
    </row>
    <row r="7">
      <c r="A7" s="35" t="inlineStr">
        <is>
          <t>DevOps Architect</t>
        </is>
      </c>
      <c r="B7" s="35" t="inlineStr">
        <is>
          <t>12+ Years</t>
        </is>
      </c>
      <c r="C7" s="35" t="inlineStr">
        <is>
          <t>₹100 LPA+</t>
        </is>
      </c>
      <c r="D7" s="35" t="inlineStr">
        <is>
          <t>Future target</t>
        </is>
      </c>
    </row>
    <row r="8">
      <c r="A8" s="34" t="n"/>
      <c r="B8" s="34" t="n"/>
      <c r="C8" s="34" t="n"/>
      <c r="D8" s="34" t="n"/>
    </row>
    <row r="9">
      <c r="A9" s="32" t="inlineStr">
        <is>
          <t>NEGOTIATION PLAYBOOK</t>
        </is>
      </c>
      <c r="B9" s="32" t="n"/>
      <c r="C9" s="32" t="n"/>
      <c r="D9" s="32" t="n"/>
    </row>
    <row r="10">
      <c r="A10" s="33" t="inlineStr">
        <is>
          <t>Step</t>
        </is>
      </c>
      <c r="B10" s="33" t="inlineStr">
        <is>
          <t>Action</t>
        </is>
      </c>
      <c r="C10" s="33" t="inlineStr">
        <is>
          <t>Script / Tip</t>
        </is>
      </c>
      <c r="D10" s="33" t="n"/>
    </row>
    <row r="11" ht="25.5" customHeight="1" s="52">
      <c r="A11" s="35" t="inlineStr">
        <is>
          <t>1</t>
        </is>
      </c>
      <c r="B11" s="35" t="inlineStr">
        <is>
          <t>Never give first number</t>
        </is>
      </c>
      <c r="C11" s="35" t="inlineStr">
        <is>
          <t>'I'd love to understand the full comp structure first. What's the budgeted range?'</t>
        </is>
      </c>
      <c r="D11" s="35" t="n"/>
    </row>
    <row r="12" ht="25.5" customHeight="1" s="52">
      <c r="A12" s="34" t="inlineStr">
        <is>
          <t>2</t>
        </is>
      </c>
      <c r="B12" s="34" t="inlineStr">
        <is>
          <t>If pressed, give a range</t>
        </is>
      </c>
      <c r="C12" s="34" t="inlineStr">
        <is>
          <t>Give range where your min = their max. E.g. target ₹28L → say '25-32 LPA'</t>
        </is>
      </c>
      <c r="D12" s="34" t="n"/>
    </row>
    <row r="13" ht="25.5" customHeight="1" s="52">
      <c r="A13" s="35" t="inlineStr">
        <is>
          <t>3</t>
        </is>
      </c>
      <c r="B13" s="35" t="inlineStr">
        <is>
          <t>Counter any offer</t>
        </is>
      </c>
      <c r="C13" s="35" t="inlineStr">
        <is>
          <t>Always counter at least once. Most companies expect it. Counter 10-15% above offer.</t>
        </is>
      </c>
      <c r="D13" s="35" t="n"/>
    </row>
    <row r="14" ht="25.5" customHeight="1" s="52">
      <c r="A14" s="34" t="inlineStr">
        <is>
          <t>4</t>
        </is>
      </c>
      <c r="B14" s="34" t="inlineStr">
        <is>
          <t>Use competing offers</t>
        </is>
      </c>
      <c r="C14" s="34" t="inlineStr">
        <is>
          <t>'I have another offer at X. If you can match/beat that, I'd prefer to join here.'</t>
        </is>
      </c>
      <c r="D14" s="34" t="n"/>
    </row>
    <row r="15" ht="25.5" customHeight="1" s="52">
      <c r="A15" s="35" t="inlineStr">
        <is>
          <t>5</t>
        </is>
      </c>
      <c r="B15" s="35" t="inlineStr">
        <is>
          <t>Negotiate beyond base</t>
        </is>
      </c>
      <c r="C15" s="35" t="inlineStr">
        <is>
          <t>Variable, joining bonus, ESOP/RSU, extra leave, WFH, cert reimbursement</t>
        </is>
      </c>
      <c r="D15" s="35" t="n"/>
    </row>
    <row r="16" ht="25.5" customHeight="1" s="52">
      <c r="A16" s="34" t="inlineStr">
        <is>
          <t>6</t>
        </is>
      </c>
      <c r="B16" s="34" t="inlineStr">
        <is>
          <t>Know your BATNA</t>
        </is>
      </c>
      <c r="C16" s="34" t="inlineStr">
        <is>
          <t>Best Alternative To Negotiated Agreement. Don't negotiate from desperation.</t>
        </is>
      </c>
      <c r="D16" s="34" t="n"/>
    </row>
    <row r="17">
      <c r="A17" s="35" t="inlineStr">
        <is>
          <t>7</t>
        </is>
      </c>
      <c r="B17" s="35" t="inlineStr">
        <is>
          <t>Get it in writing</t>
        </is>
      </c>
      <c r="C17" s="35" t="inlineStr">
        <is>
          <t>Never resign until offer letter is signed. Verbal offers don't count.</t>
        </is>
      </c>
      <c r="D17" s="35" t="n"/>
    </row>
    <row r="18">
      <c r="A18" s="34" t="n"/>
      <c r="B18" s="34" t="n"/>
      <c r="C18" s="34" t="n"/>
      <c r="D18" s="34" t="n"/>
    </row>
    <row r="19" ht="25.5" customHeight="1" s="52">
      <c r="A19" s="32" t="inlineStr">
        <is>
          <t>WHAT TO HIGHLIGHT TO GET HIGH PACKAGE</t>
        </is>
      </c>
      <c r="B19" s="32" t="n"/>
      <c r="C19" s="32" t="n"/>
      <c r="D19" s="32" t="n"/>
    </row>
    <row r="20">
      <c r="A20" s="33" t="inlineStr">
        <is>
          <t>Factor</t>
        </is>
      </c>
      <c r="B20" s="33" t="inlineStr">
        <is>
          <t>How to demonstrate</t>
        </is>
      </c>
      <c r="C20" s="33" t="n"/>
      <c r="D20" s="33" t="n"/>
    </row>
    <row r="21" ht="38.25" customHeight="1" s="52">
      <c r="A21" s="35" t="inlineStr">
        <is>
          <t>Linux Admin + Shell scripting experience</t>
        </is>
      </c>
      <c r="B21" s="35" t="inlineStr">
        <is>
          <t>Show bash/Python automation scripts + Linux troubleshooting on GitHub</t>
        </is>
      </c>
      <c r="C21" s="35" t="n"/>
      <c r="D21" s="35" t="n"/>
    </row>
    <row r="22" ht="38.25" customHeight="1" s="52">
      <c r="A22" s="34" t="inlineStr">
        <is>
          <t>Terraform basics + AWS hands-on</t>
        </is>
      </c>
      <c r="B22" s="34" t="inlineStr">
        <is>
          <t>Terraform modules for EC2/VPC/RDS; deployed and documented on GitHub</t>
        </is>
      </c>
      <c r="C22" s="34" t="n"/>
      <c r="D22" s="34" t="n"/>
    </row>
    <row r="23" ht="38.25" customHeight="1" s="52">
      <c r="A23" s="35" t="inlineStr">
        <is>
          <t>GitOps + ArgoCD</t>
        </is>
      </c>
      <c r="B23" s="35" t="inlineStr">
        <is>
          <t>Show the ArgoCD app-of-apps + Argo Rollouts canary project</t>
        </is>
      </c>
      <c r="C23" s="35" t="n"/>
      <c r="D23" s="35" t="n"/>
    </row>
    <row r="24" ht="38.25" customHeight="1" s="52">
      <c r="A24" s="34" t="inlineStr">
        <is>
          <t>Security mindset</t>
        </is>
      </c>
      <c r="B24" s="34" t="inlineStr">
        <is>
          <t>GuardDuty + WAF + Falco project; security in CI pipeline</t>
        </is>
      </c>
      <c r="C24" s="34" t="n"/>
      <c r="D24" s="34" t="n"/>
    </row>
    <row r="25" ht="38.25" customHeight="1" s="52">
      <c r="A25" s="35" t="inlineStr">
        <is>
          <t>Observability / SRE</t>
        </is>
      </c>
      <c r="B25" s="35" t="inlineStr">
        <is>
          <t>Prometheus + Grafana + SLO runbook; show the dashboard</t>
        </is>
      </c>
      <c r="C25" s="35" t="n"/>
      <c r="D25" s="35" t="n"/>
    </row>
    <row r="26" ht="38.25" customHeight="1" s="52">
      <c r="A26" s="34" t="inlineStr">
        <is>
          <t>Certifications (salary premium per cert)</t>
        </is>
      </c>
      <c r="B26" s="34" t="inlineStr">
        <is>
          <t>AWS SAA: +₹2-4L | DOP-C02: +₹4-8L | CKA: +₹3-6L | All 3: +₹8-15L jump</t>
        </is>
      </c>
      <c r="C26" s="34" t="n"/>
      <c r="D26" s="34" t="n"/>
    </row>
    <row r="27" ht="51" customHeight="1" s="52">
      <c r="A27" s="35" t="inlineStr">
        <is>
          <t>System design ability</t>
        </is>
      </c>
      <c r="B27" s="35" t="inlineStr">
        <is>
          <t>Walk through architecture diagrams; use AWS Well-Architected language</t>
        </is>
      </c>
      <c r="C27" s="35" t="n"/>
      <c r="D27" s="35" t="n"/>
    </row>
    <row r="29">
      <c r="A29" s="70" t="inlineStr">
        <is>
          <t>CHENNAI TARGET MNCs (2026)</t>
        </is>
      </c>
      <c r="B29" s="32" t="n"/>
      <c r="C29" s="32" t="n"/>
      <c r="D29" s="32" t="n"/>
    </row>
    <row r="30">
      <c r="A30" s="33" t="inlineStr">
        <is>
          <t>Company</t>
        </is>
      </c>
      <c r="B30" s="33" t="inlineStr">
        <is>
          <t>Type</t>
        </is>
      </c>
      <c r="C30" s="33" t="inlineStr">
        <is>
          <t>DevOps Range (Chennai)</t>
        </is>
      </c>
      <c r="D30" s="33" t="inlineStr">
        <is>
          <t>Apply Via</t>
        </is>
      </c>
    </row>
    <row r="31">
      <c r="A31" t="inlineStr">
        <is>
          <t>Zoho Corporation</t>
        </is>
      </c>
      <c r="B31" t="inlineStr">
        <is>
          <t>Product</t>
        </is>
      </c>
      <c r="C31" t="inlineStr">
        <is>
          <t>₹18-35 LPA</t>
        </is>
      </c>
      <c r="D31" t="inlineStr">
        <is>
          <t>zoho.com/careers</t>
        </is>
      </c>
    </row>
    <row r="32">
      <c r="A32" t="inlineStr">
        <is>
          <t>Freshworks</t>
        </is>
      </c>
      <c r="B32" t="inlineStr">
        <is>
          <t>Product/SaaS</t>
        </is>
      </c>
      <c r="C32" t="inlineStr">
        <is>
          <t>₹25-45 LPA</t>
        </is>
      </c>
      <c r="D32" t="inlineStr">
        <is>
          <t>freshworks.com/jobs</t>
        </is>
      </c>
    </row>
    <row r="33">
      <c r="A33" t="inlineStr">
        <is>
          <t>PayPal India</t>
        </is>
      </c>
      <c r="B33" t="inlineStr">
        <is>
          <t>Fintech MNC</t>
        </is>
      </c>
      <c r="C33" t="inlineStr">
        <is>
          <t>₹25-45 LPA</t>
        </is>
      </c>
      <c r="D33" t="inlineStr">
        <is>
          <t>LinkedIn / PayPal careers</t>
        </is>
      </c>
    </row>
    <row r="34">
      <c r="A34" t="inlineStr">
        <is>
          <t>Cognizant (CTS)</t>
        </is>
      </c>
      <c r="B34" t="inlineStr">
        <is>
          <t>IT Services MNC</t>
        </is>
      </c>
      <c r="C34" t="inlineStr">
        <is>
          <t>₹15-28 LPA</t>
        </is>
      </c>
      <c r="D34" t="inlineStr">
        <is>
          <t>Naukri / LinkedIn</t>
        </is>
      </c>
    </row>
    <row r="35">
      <c r="A35" t="inlineStr">
        <is>
          <t>HCL Technologies</t>
        </is>
      </c>
      <c r="B35" t="inlineStr">
        <is>
          <t>IT Services MNC</t>
        </is>
      </c>
      <c r="C35" t="inlineStr">
        <is>
          <t>₹14-26 LPA</t>
        </is>
      </c>
      <c r="D35" t="inlineStr">
        <is>
          <t>HCL careers / Naukri</t>
        </is>
      </c>
    </row>
    <row r="36">
      <c r="A36" t="inlineStr">
        <is>
          <t>TCS (Chennai)</t>
        </is>
      </c>
      <c r="B36" t="inlineStr">
        <is>
          <t>IT Services MNC</t>
        </is>
      </c>
      <c r="C36" t="inlineStr">
        <is>
          <t>₹14-25 LPA</t>
        </is>
      </c>
      <c r="D36" t="inlineStr">
        <is>
          <t>TCS NextStep</t>
        </is>
      </c>
    </row>
    <row r="37">
      <c r="A37" t="inlineStr">
        <is>
          <t>Infosys (Chennai)</t>
        </is>
      </c>
      <c r="B37" t="inlineStr">
        <is>
          <t>IT Services MNC</t>
        </is>
      </c>
      <c r="C37" t="inlineStr">
        <is>
          <t>₹14-25 LPA</t>
        </is>
      </c>
      <c r="D37" t="inlineStr">
        <is>
          <t>Infosys careers</t>
        </is>
      </c>
    </row>
    <row r="38">
      <c r="A38" t="inlineStr">
        <is>
          <t>DXC Technology</t>
        </is>
      </c>
      <c r="B38" t="inlineStr">
        <is>
          <t>IT MNC</t>
        </is>
      </c>
      <c r="C38" t="inlineStr">
        <is>
          <t>₹15-28 LPA</t>
        </is>
      </c>
      <c r="D38" t="inlineStr">
        <is>
          <t>DXC careers / LinkedIn</t>
        </is>
      </c>
    </row>
    <row r="39">
      <c r="A39" t="inlineStr">
        <is>
          <t>Hexaware Technologies</t>
        </is>
      </c>
      <c r="B39" t="inlineStr">
        <is>
          <t>IT Services</t>
        </is>
      </c>
      <c r="C39" t="inlineStr">
        <is>
          <t>₹15-26 LPA</t>
        </is>
      </c>
      <c r="D39" t="inlineStr">
        <is>
          <t>Naukri / LinkedIn</t>
        </is>
      </c>
    </row>
    <row r="40">
      <c r="A40" t="inlineStr">
        <is>
          <t>Standard Chartered GBS</t>
        </is>
      </c>
      <c r="B40" t="inlineStr">
        <is>
          <t>Banking MNC</t>
        </is>
      </c>
      <c r="C40" t="inlineStr">
        <is>
          <t>₹22-40 LPA</t>
        </is>
      </c>
      <c r="D40" t="inlineStr">
        <is>
          <t>LinkedIn / SCB careers</t>
        </is>
      </c>
    </row>
    <row r="41">
      <c r="A41" t="inlineStr">
        <is>
          <t>Citibank Technology</t>
        </is>
      </c>
      <c r="B41" t="inlineStr">
        <is>
          <t>Banking MNC</t>
        </is>
      </c>
      <c r="C41" t="inlineStr">
        <is>
          <t>₹25-45 LPA</t>
        </is>
      </c>
      <c r="D41" t="inlineStr">
        <is>
          <t>LinkedIn / Citi careers</t>
        </is>
      </c>
    </row>
    <row r="42">
      <c r="A42" t="inlineStr">
        <is>
          <t>Amazon (Chennai)</t>
        </is>
      </c>
      <c r="B42" t="inlineStr">
        <is>
          <t>FAANG/Product</t>
        </is>
      </c>
      <c r="C42" t="inlineStr">
        <is>
          <t>₹30-60 LPA</t>
        </is>
      </c>
      <c r="D42" t="inlineStr">
        <is>
          <t>amazon.jobs</t>
        </is>
      </c>
    </row>
    <row r="43">
      <c r="A43" t="inlineStr">
        <is>
          <t>Flipkart / Meesho</t>
        </is>
      </c>
      <c r="B43" t="inlineStr">
        <is>
          <t>E-comm/Product</t>
        </is>
      </c>
      <c r="C43" t="inlineStr">
        <is>
          <t>₹28-55 LPA</t>
        </is>
      </c>
      <c r="D43" t="inlineStr">
        <is>
          <t>LinkedIn / company careers</t>
        </is>
      </c>
    </row>
    <row r="44">
      <c r="A44" t="inlineStr">
        <is>
          <t>Razorpay / CRED</t>
        </is>
      </c>
      <c r="B44" t="inlineStr">
        <is>
          <t>Fintech Product</t>
        </is>
      </c>
      <c r="C44" t="inlineStr">
        <is>
          <t>₹30-55 LPA</t>
        </is>
      </c>
      <c r="D44" t="inlineStr">
        <is>
          <t>LinkedIn / company careers</t>
        </is>
      </c>
    </row>
    <row r="45">
      <c r="A45" t="inlineStr">
        <is>
          <t>Capgemini India</t>
        </is>
      </c>
      <c r="B45" t="inlineStr">
        <is>
          <t>IT Services MNC</t>
        </is>
      </c>
      <c r="C45" t="inlineStr">
        <is>
          <t>₹15-28 LPA</t>
        </is>
      </c>
      <c r="D45" t="inlineStr">
        <is>
          <t>Naukri / Capgemini careers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0" customWidth="1" style="52" min="1" max="1"/>
    <col width="38" customWidth="1" style="52" min="2" max="2"/>
    <col width="22" customWidth="1" style="52" min="3" max="3"/>
    <col width="10" customWidth="1" style="52" min="4" max="4"/>
    <col width="16" customWidth="1" style="52" min="5" max="5"/>
    <col width="12" customWidth="1" style="52" min="6" max="6"/>
    <col width="16" customWidth="1" style="52" min="7" max="7"/>
    <col width="16" customWidth="1" style="52" min="8" max="8"/>
    <col width="16" customWidth="1" style="52" min="9" max="9"/>
    <col width="12" customWidth="1" style="52" min="10" max="10"/>
    <col width="12" customWidth="1" style="52" min="11" max="11"/>
    <col width="14" customWidth="1" style="52" min="12" max="12"/>
    <col width="55" customWidth="1" style="52" min="13" max="13"/>
  </cols>
  <sheetData>
    <row r="1">
      <c r="A1" s="71" t="inlineStr">
        <is>
          <t>🎓  CERTIFICATIONS TRACKER  —  AWS + Kubernetes Certifications Roadmap</t>
        </is>
      </c>
    </row>
    <row r="2">
      <c r="A2" s="72" t="inlineStr">
        <is>
          <t>Cert</t>
        </is>
      </c>
      <c r="B2" s="72" t="inlineStr">
        <is>
          <t>Full Name</t>
        </is>
      </c>
      <c r="C2" s="72" t="inlineStr">
        <is>
          <t>Provider</t>
        </is>
      </c>
      <c r="D2" s="72" t="inlineStr">
        <is>
          <t>Priority</t>
        </is>
      </c>
      <c r="E2" s="72" t="inlineStr">
        <is>
          <t>Target Exam Date</t>
        </is>
      </c>
      <c r="F2" s="72" t="inlineStr">
        <is>
          <t>Study Start</t>
        </is>
      </c>
      <c r="G2" s="72" t="inlineStr">
        <is>
          <t>Practice Test 1</t>
        </is>
      </c>
      <c r="H2" s="72" t="inlineStr">
        <is>
          <t>Practice Test 2</t>
        </is>
      </c>
      <c r="I2" s="72" t="inlineStr">
        <is>
          <t>Practice Test 3</t>
        </is>
      </c>
      <c r="J2" s="72" t="inlineStr">
        <is>
          <t>Exam Booked?</t>
        </is>
      </c>
      <c r="K2" s="72" t="inlineStr">
        <is>
          <t>Status</t>
        </is>
      </c>
      <c r="L2" s="72" t="inlineStr">
        <is>
          <t>Voucher/Cost</t>
        </is>
      </c>
      <c r="M2" s="72" t="inlineStr">
        <is>
          <t>Resources</t>
        </is>
      </c>
    </row>
    <row r="3">
      <c r="A3" s="73" t="inlineStr">
        <is>
          <t>AWS SAA-C03</t>
        </is>
      </c>
      <c r="B3" s="73" t="inlineStr">
        <is>
          <t>AWS Solutions Architect Associate</t>
        </is>
      </c>
      <c r="C3" s="73" t="inlineStr">
        <is>
          <t>Amazon</t>
        </is>
      </c>
      <c r="D3" s="73" t="inlineStr">
        <is>
          <t>🔴 FIRST</t>
        </is>
      </c>
      <c r="E3" s="73" t="inlineStr">
        <is>
          <t>2026-07-15</t>
        </is>
      </c>
      <c r="F3" s="73" t="inlineStr">
        <is>
          <t>2026-04-01</t>
        </is>
      </c>
      <c r="G3" s="73" t="inlineStr"/>
      <c r="H3" s="73" t="inlineStr"/>
      <c r="I3" s="73" t="inlineStr"/>
      <c r="J3" s="73" t="inlineStr">
        <is>
          <t>No</t>
        </is>
      </c>
      <c r="K3" s="73" t="inlineStr">
        <is>
          <t>Not started</t>
        </is>
      </c>
      <c r="L3" s="73" t="inlineStr">
        <is>
          <t>~₹13,000</t>
        </is>
      </c>
      <c r="M3" s="73" t="inlineStr">
        <is>
          <t>Stephane Maarek (Udemy), AWS Skill Builder, TutorialsDojo practice tests</t>
        </is>
      </c>
    </row>
    <row r="4">
      <c r="A4" s="73" t="inlineStr">
        <is>
          <t>AWS DOP-C02</t>
        </is>
      </c>
      <c r="B4" s="73" t="inlineStr">
        <is>
          <t>AWS DevOps Engineer Professional</t>
        </is>
      </c>
      <c r="C4" s="73" t="inlineStr">
        <is>
          <t>Amazon</t>
        </is>
      </c>
      <c r="D4" s="73" t="inlineStr">
        <is>
          <t>🔴 HIGH</t>
        </is>
      </c>
      <c r="E4" s="73" t="inlineStr">
        <is>
          <t>2026-09-30</t>
        </is>
      </c>
      <c r="F4" s="73" t="inlineStr">
        <is>
          <t>2026-07-20</t>
        </is>
      </c>
      <c r="G4" s="73" t="inlineStr"/>
      <c r="H4" s="73" t="inlineStr"/>
      <c r="I4" s="73" t="inlineStr"/>
      <c r="J4" s="73" t="inlineStr">
        <is>
          <t>No</t>
        </is>
      </c>
      <c r="K4" s="73" t="inlineStr">
        <is>
          <t>Not started</t>
        </is>
      </c>
      <c r="L4" s="73" t="inlineStr">
        <is>
          <t>~₹13,000</t>
        </is>
      </c>
      <c r="M4" s="73" t="inlineStr">
        <is>
          <t>Stephane Maarek DevOps Pro course, AWS Skill Builder labs, TutorialsDojo</t>
        </is>
      </c>
    </row>
    <row r="5">
      <c r="A5" s="73" t="inlineStr">
        <is>
          <t>CKA</t>
        </is>
      </c>
      <c r="B5" s="73" t="inlineStr">
        <is>
          <t>Certified Kubernetes Administrator</t>
        </is>
      </c>
      <c r="C5" s="73" t="inlineStr">
        <is>
          <t>CNCF/Linux Foundation</t>
        </is>
      </c>
      <c r="D5" s="73" t="inlineStr">
        <is>
          <t>🔴 HIGH</t>
        </is>
      </c>
      <c r="E5" s="73" t="inlineStr">
        <is>
          <t>2026-08-15</t>
        </is>
      </c>
      <c r="F5" s="73" t="inlineStr">
        <is>
          <t>2026-05-01</t>
        </is>
      </c>
      <c r="G5" s="73" t="inlineStr"/>
      <c r="H5" s="73" t="inlineStr"/>
      <c r="I5" s="73" t="inlineStr"/>
      <c r="J5" s="73" t="inlineStr">
        <is>
          <t>No</t>
        </is>
      </c>
      <c r="K5" s="73" t="inlineStr">
        <is>
          <t>Not started</t>
        </is>
      </c>
      <c r="L5" s="73" t="inlineStr">
        <is>
          <t>~$395 (~₹33,000)</t>
        </is>
      </c>
      <c r="M5" s="73" t="inlineStr">
        <is>
          <t>Mumshad Mannambeth (KodeKloud), killer.sh practice, k8s.io docs</t>
        </is>
      </c>
    </row>
    <row r="6">
      <c r="A6" s="73" t="inlineStr">
        <is>
          <t>CKAD</t>
        </is>
      </c>
      <c r="B6" s="73" t="inlineStr">
        <is>
          <t>Certified Kubernetes Application Developer</t>
        </is>
      </c>
      <c r="C6" s="73" t="inlineStr">
        <is>
          <t>CNCF/Linux Foundation</t>
        </is>
      </c>
      <c r="D6" s="73" t="inlineStr">
        <is>
          <t>🟡 MED</t>
        </is>
      </c>
      <c r="E6" s="73" t="inlineStr">
        <is>
          <t>2026-10-31</t>
        </is>
      </c>
      <c r="F6" s="73" t="inlineStr">
        <is>
          <t>2026-08-01</t>
        </is>
      </c>
      <c r="G6" s="73" t="inlineStr"/>
      <c r="H6" s="73" t="inlineStr"/>
      <c r="I6" s="73" t="inlineStr"/>
      <c r="J6" s="73" t="inlineStr">
        <is>
          <t>No</t>
        </is>
      </c>
      <c r="K6" s="73" t="inlineStr">
        <is>
          <t>Not started</t>
        </is>
      </c>
      <c r="L6" s="73" t="inlineStr">
        <is>
          <t>~$395 (~₹33,000)</t>
        </is>
      </c>
      <c r="M6" s="73" t="inlineStr">
        <is>
          <t>KodeKloud CKAD course, killer.sh practice (2 free attempts included)</t>
        </is>
      </c>
    </row>
    <row r="7">
      <c r="A7" s="73" t="inlineStr">
        <is>
          <t>AWS ANS-C01</t>
        </is>
      </c>
      <c r="B7" s="73" t="inlineStr">
        <is>
          <t>AWS Advanced Networking Specialty</t>
        </is>
      </c>
      <c r="C7" s="73" t="inlineStr">
        <is>
          <t>Amazon</t>
        </is>
      </c>
      <c r="D7" s="73" t="inlineStr">
        <is>
          <t>🟢 LATER</t>
        </is>
      </c>
      <c r="E7" s="73" t="inlineStr">
        <is>
          <t>2027 Q1</t>
        </is>
      </c>
      <c r="F7" s="73" t="inlineStr">
        <is>
          <t>2026-12-01</t>
        </is>
      </c>
      <c r="G7" s="73" t="inlineStr"/>
      <c r="H7" s="73" t="inlineStr"/>
      <c r="I7" s="73" t="inlineStr"/>
      <c r="J7" s="73" t="inlineStr">
        <is>
          <t>No</t>
        </is>
      </c>
      <c r="K7" s="73" t="inlineStr">
        <is>
          <t>Not started</t>
        </is>
      </c>
      <c r="L7" s="73" t="inlineStr">
        <is>
          <t>~₹13,000</t>
        </is>
      </c>
      <c r="M7" s="73" t="inlineStr">
        <is>
          <t>AWS Skill Builder, Chad Smith course (Udemy)</t>
        </is>
      </c>
    </row>
    <row r="8">
      <c r="A8" s="73" t="inlineStr">
        <is>
          <t>Terraform Associate</t>
        </is>
      </c>
      <c r="B8" s="73" t="inlineStr">
        <is>
          <t>HashiCorp Certified: Terraform Associate 003</t>
        </is>
      </c>
      <c r="C8" s="73" t="inlineStr">
        <is>
          <t>HashiCorp</t>
        </is>
      </c>
      <c r="D8" s="73" t="inlineStr">
        <is>
          <t>🟡 MED</t>
        </is>
      </c>
      <c r="E8" s="73" t="inlineStr">
        <is>
          <t>2026-08-31</t>
        </is>
      </c>
      <c r="F8" s="73" t="inlineStr">
        <is>
          <t>2026-05-15</t>
        </is>
      </c>
      <c r="G8" s="73" t="inlineStr"/>
      <c r="H8" s="73" t="inlineStr"/>
      <c r="I8" s="73" t="inlineStr"/>
      <c r="J8" s="73" t="inlineStr">
        <is>
          <t>No</t>
        </is>
      </c>
      <c r="K8" s="73" t="inlineStr">
        <is>
          <t>Not started</t>
        </is>
      </c>
      <c r="L8" s="73" t="inlineStr">
        <is>
          <t>~$70 (~₹6,000)</t>
        </is>
      </c>
      <c r="M8" s="73" t="inlineStr">
        <is>
          <t>HashiCorp Learn docs, Bryan Krausen (Udemy), ExamPro practice tests</t>
        </is>
      </c>
    </row>
    <row r="11">
      <c r="A11" s="69" t="inlineStr">
        <is>
          <t>💡 CERTIFICATION TIPS</t>
        </is>
      </c>
    </row>
    <row r="12">
      <c r="A12" s="74" t="inlineStr">
        <is>
          <t>Exam Sequence</t>
        </is>
      </c>
      <c r="B12" s="75" t="inlineStr">
        <is>
          <t>SAA-C03 first (builds AWS foundation) → CKA (K8s hands-on) → DOP-C02 (DevOps + AWS combined) → CKAD → Terraform Assoc</t>
        </is>
      </c>
    </row>
    <row r="13">
      <c r="A13" s="74" t="inlineStr">
        <is>
          <t>Practice Tests</t>
        </is>
      </c>
      <c r="B13" s="75" t="inlineStr">
        <is>
          <t>Score 85%+ on TutorialsDojo/killer.sh practice tests before booking real exam. killer.sh is harder than real CKA exam.</t>
        </is>
      </c>
    </row>
    <row r="14">
      <c r="A14" s="74" t="inlineStr">
        <is>
          <t>Study Split</t>
        </is>
      </c>
      <c r="B14" s="75" t="inlineStr">
        <is>
          <t>60% hands-on labs (KodeKloud, AWS Skill Builder) + 30% video theory + 10% practice tests. Never just watch videos.</t>
        </is>
      </c>
    </row>
    <row r="15">
      <c r="A15" s="74" t="inlineStr">
        <is>
          <t>Vouchers</t>
        </is>
      </c>
      <c r="B15" s="75" t="inlineStr">
        <is>
          <t>Watch for AWS exam voucher promotions (re:Invent/re:Inforce). Linux Foundation offers 30-40% discounts periodically.</t>
        </is>
      </c>
    </row>
    <row r="16">
      <c r="A16" s="74" t="inlineStr">
        <is>
          <t>CKA Exam</t>
        </is>
      </c>
      <c r="B16" s="75" t="inlineStr">
        <is>
          <t>Open book (kubernetes.io docs allowed). Bookmark: kubectl cheatsheet, concepts, tasks. Practice in killer.sh environment.</t>
        </is>
      </c>
    </row>
    <row r="17">
      <c r="A17" s="74" t="inlineStr">
        <is>
          <t>SAA-C03 Tip</t>
        </is>
      </c>
      <c r="B17" s="75" t="inlineStr">
        <is>
          <t>Focus on: IAM, VPC, EC2/ASG, S3, RDS, CloudFront, Route53, SQS/SNS, ECS, EKS basics, cost optimization.</t>
        </is>
      </c>
    </row>
    <row r="18">
      <c r="A18" s="74" t="inlineStr">
        <is>
          <t>Salary Impact</t>
        </is>
      </c>
      <c r="B18" s="75" t="inlineStr">
        <is>
          <t>AWS SAA: +₹2-4L bump | DOP-C02: +₹4-8L | CKA: +₹3-6L | All 3 together = strong negotiation position for ₹35L+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2026-03-14T06:02:00Z</dcterms:created>
  <dcterms:modified xmlns:dcterms="http://purl.org/dc/terms/" xmlns:xsi="http://www.w3.org/2001/XMLSchema-instance" xsi:type="dcterms:W3CDTF">2026-03-17T16:43:52Z</dcterms:modified>
  <cp:lastModifiedBy>Rajendra Prasad</cp:lastModifiedBy>
</cp:coreProperties>
</file>